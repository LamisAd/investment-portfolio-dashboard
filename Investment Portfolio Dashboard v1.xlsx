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VivoBook\Desktop\Projects\"/>
    </mc:Choice>
  </mc:AlternateContent>
  <xr:revisionPtr revIDLastSave="0" documentId="13_ncr:1_{634CF53E-D12C-4BCF-9766-A0F08BA9B578}" xr6:coauthVersionLast="47" xr6:coauthVersionMax="47" xr10:uidLastSave="{00000000-0000-0000-0000-000000000000}"/>
  <bookViews>
    <workbookView xWindow="-108" yWindow="-108" windowWidth="23256" windowHeight="12456" xr2:uid="{9FA45069-4A91-4F08-A5DA-AB71F524FF17}"/>
  </bookViews>
  <sheets>
    <sheet name="Portfolio" sheetId="1" r:id="rId1"/>
    <sheet name="Dashboard" sheetId="2" r:id="rId2"/>
    <sheet name="Sector analysis" sheetId="4" r:id="rId3"/>
    <sheet name="Market Data" sheetId="5" r:id="rId4"/>
    <sheet name="Summary" sheetId="3" r:id="rId5"/>
  </sheets>
  <definedNames>
    <definedName name="Slicer_Sector">#N/A</definedName>
    <definedName name="Slicer_Tick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B18" i="2"/>
  <c r="D3" i="1"/>
  <c r="G3" i="1" s="1"/>
  <c r="D4" i="1"/>
  <c r="G4" i="1" s="1"/>
  <c r="D5" i="1"/>
  <c r="D6" i="1"/>
  <c r="G6" i="1" s="1"/>
  <c r="D7" i="1"/>
  <c r="G7" i="1" s="1"/>
  <c r="D8" i="1"/>
  <c r="G8" i="1" s="1"/>
  <c r="D9" i="1"/>
  <c r="G9" i="1" s="1"/>
  <c r="D10" i="1"/>
  <c r="G10" i="1" s="1"/>
  <c r="D11" i="1"/>
  <c r="G11" i="1" s="1"/>
  <c r="D12" i="1"/>
  <c r="G12" i="1" s="1"/>
  <c r="D13" i="1"/>
  <c r="G13" i="1" s="1"/>
  <c r="D14" i="1"/>
  <c r="G14" i="1" s="1"/>
  <c r="D15" i="1"/>
  <c r="G15" i="1" s="1"/>
  <c r="D16" i="1"/>
  <c r="G16" i="1" s="1"/>
  <c r="D17" i="1"/>
  <c r="G17" i="1" s="1"/>
  <c r="D18" i="1"/>
  <c r="G18" i="1" s="1"/>
  <c r="D19" i="1"/>
  <c r="G19" i="1" s="1"/>
  <c r="D20" i="1"/>
  <c r="G20" i="1" s="1"/>
  <c r="D21" i="1"/>
  <c r="G21" i="1" s="1"/>
  <c r="D2" i="1"/>
  <c r="G2" i="1" s="1"/>
  <c r="B9" i="2"/>
  <c r="G5" i="1"/>
  <c r="F3" i="1"/>
  <c r="F4" i="1"/>
  <c r="F5" i="1"/>
  <c r="F6" i="1"/>
  <c r="F7" i="1"/>
  <c r="F8" i="1"/>
  <c r="F9" i="1"/>
  <c r="F10" i="1"/>
  <c r="F11" i="1"/>
  <c r="F12" i="1"/>
  <c r="F13" i="1"/>
  <c r="F14" i="1"/>
  <c r="F15" i="1"/>
  <c r="F16" i="1"/>
  <c r="F17" i="1"/>
  <c r="F18" i="1"/>
  <c r="F19" i="1"/>
  <c r="F20" i="1"/>
  <c r="F21" i="1"/>
  <c r="F2" i="1"/>
  <c r="I17" i="1" l="1"/>
  <c r="I9" i="1"/>
  <c r="I16" i="1"/>
  <c r="I7" i="1"/>
  <c r="I15" i="1"/>
  <c r="I8" i="1"/>
  <c r="J4" i="1"/>
  <c r="J12" i="1"/>
  <c r="J20" i="1"/>
  <c r="J5" i="1"/>
  <c r="J13" i="1"/>
  <c r="J21" i="1"/>
  <c r="J6" i="1"/>
  <c r="J14" i="1"/>
  <c r="G30" i="1"/>
  <c r="J7" i="1"/>
  <c r="J15" i="1"/>
  <c r="G29" i="1"/>
  <c r="J8" i="1"/>
  <c r="J16" i="1"/>
  <c r="J9" i="1"/>
  <c r="J17" i="1"/>
  <c r="J2" i="1"/>
  <c r="J10" i="1"/>
  <c r="J18" i="1"/>
  <c r="J3" i="1"/>
  <c r="J11" i="1"/>
  <c r="J19" i="1"/>
  <c r="H18" i="1"/>
  <c r="H6" i="1"/>
  <c r="H2" i="1"/>
  <c r="H10" i="1"/>
  <c r="H14" i="1"/>
  <c r="H17" i="1"/>
  <c r="H9" i="1"/>
  <c r="H21" i="1"/>
  <c r="H13" i="1"/>
  <c r="H5" i="1"/>
  <c r="H8" i="1"/>
  <c r="I20" i="1"/>
  <c r="I12" i="1"/>
  <c r="I4" i="1"/>
  <c r="H16" i="1"/>
  <c r="H15" i="1"/>
  <c r="H7" i="1"/>
  <c r="H19" i="1"/>
  <c r="H11" i="1"/>
  <c r="H3" i="1"/>
  <c r="G23" i="1"/>
  <c r="B5" i="2" s="1"/>
  <c r="I18" i="1"/>
  <c r="I10" i="1"/>
  <c r="I11" i="1"/>
  <c r="I2" i="1"/>
  <c r="I14" i="1"/>
  <c r="I6" i="1"/>
  <c r="I21" i="1"/>
  <c r="I13" i="1"/>
  <c r="I5" i="1"/>
  <c r="G24" i="1"/>
  <c r="H20" i="1"/>
  <c r="H12" i="1"/>
  <c r="H4" i="1"/>
  <c r="I19" i="1"/>
  <c r="I3" i="1"/>
  <c r="K5" i="1" l="1"/>
  <c r="K6" i="1"/>
  <c r="K12" i="1"/>
  <c r="B21" i="2"/>
  <c r="B22" i="2"/>
  <c r="K20" i="1"/>
  <c r="K15" i="1"/>
  <c r="K21" i="1"/>
  <c r="K16" i="1"/>
  <c r="K9" i="1"/>
  <c r="K8" i="1"/>
  <c r="K2" i="1"/>
  <c r="K14" i="1"/>
  <c r="B10" i="2"/>
  <c r="B11" i="2"/>
  <c r="B17" i="2"/>
  <c r="B16" i="2"/>
  <c r="G25" i="1"/>
  <c r="K3" i="1" s="1"/>
  <c r="G26" i="1"/>
  <c r="B6" i="2"/>
  <c r="G28" i="1"/>
  <c r="G27" i="1"/>
  <c r="K11" i="1" l="1"/>
  <c r="K18" i="1"/>
  <c r="K19" i="1"/>
  <c r="K10" i="1"/>
  <c r="K13" i="1"/>
  <c r="K4" i="1"/>
  <c r="K17" i="1"/>
  <c r="K7" i="1"/>
  <c r="B12" i="2"/>
  <c r="B7" i="2"/>
  <c r="B13" i="2"/>
  <c r="B8" i="2"/>
  <c r="B15" i="2" s="1"/>
  <c r="B14" i="2"/>
</calcChain>
</file>

<file path=xl/sharedStrings.xml><?xml version="1.0" encoding="utf-8"?>
<sst xmlns="http://schemas.openxmlformats.org/spreadsheetml/2006/main" count="117" uniqueCount="69">
  <si>
    <t>Ticker</t>
  </si>
  <si>
    <t>Purchase Price</t>
  </si>
  <si>
    <t>Current Price</t>
  </si>
  <si>
    <t>Quantitiy</t>
  </si>
  <si>
    <t>Investment</t>
  </si>
  <si>
    <t>Current value</t>
  </si>
  <si>
    <t>Profit/loss</t>
  </si>
  <si>
    <t>Return %</t>
  </si>
  <si>
    <t>AAPL</t>
  </si>
  <si>
    <t>MSFT</t>
  </si>
  <si>
    <t>TSLA</t>
  </si>
  <si>
    <t>NVDA</t>
  </si>
  <si>
    <t>AMZN</t>
  </si>
  <si>
    <t>GOOGL</t>
  </si>
  <si>
    <t>META</t>
  </si>
  <si>
    <t>JPM</t>
  </si>
  <si>
    <t>BAC</t>
  </si>
  <si>
    <t>V</t>
  </si>
  <si>
    <t>MA</t>
  </si>
  <si>
    <t>NFLX</t>
  </si>
  <si>
    <t>KO</t>
  </si>
  <si>
    <t>PEP</t>
  </si>
  <si>
    <t>XOM</t>
  </si>
  <si>
    <t>CVX</t>
  </si>
  <si>
    <t>INTC</t>
  </si>
  <si>
    <t>DIS</t>
  </si>
  <si>
    <t>PYPL</t>
  </si>
  <si>
    <t>ADBE</t>
  </si>
  <si>
    <t>Total Investment</t>
  </si>
  <si>
    <t>Total current value</t>
  </si>
  <si>
    <t>Total profit</t>
  </si>
  <si>
    <t>Value</t>
  </si>
  <si>
    <t>Total return %</t>
  </si>
  <si>
    <t>Sector</t>
  </si>
  <si>
    <t>Technology</t>
  </si>
  <si>
    <t>Automative</t>
  </si>
  <si>
    <t>Consumer Discretionary</t>
  </si>
  <si>
    <t>Communication services</t>
  </si>
  <si>
    <t>Consumer staples</t>
  </si>
  <si>
    <t xml:space="preserve">Energy </t>
  </si>
  <si>
    <t>Financial Technology</t>
  </si>
  <si>
    <t>Best performer</t>
  </si>
  <si>
    <t>Worst performer</t>
  </si>
  <si>
    <t>Asset Allocation %</t>
  </si>
  <si>
    <t>KPI</t>
  </si>
  <si>
    <t>Portfolio Return %</t>
  </si>
  <si>
    <t>Number of Holdings</t>
  </si>
  <si>
    <t>Largest position</t>
  </si>
  <si>
    <t>Worst return</t>
  </si>
  <si>
    <t>Best return</t>
  </si>
  <si>
    <t>Portfolio status</t>
  </si>
  <si>
    <t>Investment Portfolio Dashboard</t>
  </si>
  <si>
    <t>Prepared by: Lamis Ben Abdessamad</t>
  </si>
  <si>
    <t>Largest position value</t>
  </si>
  <si>
    <t>Largest position weight %</t>
  </si>
  <si>
    <t>Date: 20/06/2026</t>
  </si>
  <si>
    <t>Total Profit/Loss</t>
  </si>
  <si>
    <t>Winning positions</t>
  </si>
  <si>
    <t>Losing positions</t>
  </si>
  <si>
    <t>Grand Total</t>
  </si>
  <si>
    <t>Financials</t>
  </si>
  <si>
    <t>contribution to profit/loss %</t>
  </si>
  <si>
    <t>Allocation %</t>
  </si>
  <si>
    <t>Largest sector</t>
  </si>
  <si>
    <t>Largest sector weight %</t>
  </si>
  <si>
    <t>Number of sectors</t>
  </si>
  <si>
    <t>Risk category</t>
  </si>
  <si>
    <t>Best Performer</t>
  </si>
  <si>
    <t>Worst Performer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</si>
</sst>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0" fontId="0" fillId="0" borderId="0" xfId="0" applyNumberFormat="1"/>
    <xf numFmtId="0" fontId="1" fillId="0" borderId="0" xfId="0" applyFon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9" fontId="0" fillId="0" borderId="0" xfId="0" applyNumberFormat="1"/>
    <xf numFmtId="0" fontId="1" fillId="0" borderId="0" xfId="0" applyFont="1" applyAlignment="1">
      <alignment horizontal="center"/>
    </xf>
  </cellXfs>
  <cellStyles count="1">
    <cellStyle name="Normal" xfId="0" builtinId="0"/>
  </cellStyles>
  <dxfs count="23">
    <dxf>
      <fill>
        <patternFill>
          <bgColor rgb="FF00B050"/>
        </patternFill>
      </fill>
    </dxf>
    <dxf>
      <fill>
        <patternFill>
          <bgColor rgb="FFC00000"/>
        </patternFill>
      </fill>
    </dxf>
    <dxf>
      <font>
        <color rgb="FF006100"/>
      </font>
      <fill>
        <patternFill>
          <bgColor rgb="FFC6EFCE"/>
        </patternFill>
      </fill>
    </dxf>
    <dxf>
      <font>
        <color rgb="FF9C0006"/>
      </font>
      <fill>
        <patternFill>
          <bgColor rgb="FFFFC7CE"/>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Portfolio allocation</a:t>
            </a:r>
            <a:endParaRPr lang="ro-R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o-RO"/>
        </a:p>
      </c:txPr>
    </c:title>
    <c:autoTitleDeleted val="0"/>
    <c:plotArea>
      <c:layout/>
      <c:pieChart>
        <c:varyColors val="1"/>
        <c:ser>
          <c:idx val="0"/>
          <c:order val="0"/>
          <c:tx>
            <c:strRef>
              <c:f>Portfolio!$J$1</c:f>
              <c:strCache>
                <c:ptCount val="1"/>
                <c:pt idx="0">
                  <c:v>Asset Allocation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0B-4FB7-8AEA-5E411F2DDE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0B-4FB7-8AEA-5E411F2DDE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0B-4FB7-8AEA-5E411F2DDE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0B-4FB7-8AEA-5E411F2DDE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0B-4FB7-8AEA-5E411F2DDE8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70B-4FB7-8AEA-5E411F2DDE8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70B-4FB7-8AEA-5E411F2DDE8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70B-4FB7-8AEA-5E411F2DDE8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70B-4FB7-8AEA-5E411F2DDE8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70B-4FB7-8AEA-5E411F2DDE8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70B-4FB7-8AEA-5E411F2DDE8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70B-4FB7-8AEA-5E411F2DDE8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70B-4FB7-8AEA-5E411F2DDE8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70B-4FB7-8AEA-5E411F2DDE8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70B-4FB7-8AEA-5E411F2DDE8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70B-4FB7-8AEA-5E411F2DDE8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70B-4FB7-8AEA-5E411F2DDE8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70B-4FB7-8AEA-5E411F2DDE8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70B-4FB7-8AEA-5E411F2DDE8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70B-4FB7-8AEA-5E411F2DDE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Portfolio!$A$2:$A$21</c:f>
              <c:strCache>
                <c:ptCount val="20"/>
                <c:pt idx="0">
                  <c:v>AAPL</c:v>
                </c:pt>
                <c:pt idx="1">
                  <c:v>MSFT</c:v>
                </c:pt>
                <c:pt idx="2">
                  <c:v>TSLA</c:v>
                </c:pt>
                <c:pt idx="3">
                  <c:v>NVDA</c:v>
                </c:pt>
                <c:pt idx="4">
                  <c:v>AMZN</c:v>
                </c:pt>
                <c:pt idx="5">
                  <c:v>GOOGL</c:v>
                </c:pt>
                <c:pt idx="6">
                  <c:v>META</c:v>
                </c:pt>
                <c:pt idx="7">
                  <c:v>JPM</c:v>
                </c:pt>
                <c:pt idx="8">
                  <c:v>BAC</c:v>
                </c:pt>
                <c:pt idx="9">
                  <c:v>V</c:v>
                </c:pt>
                <c:pt idx="10">
                  <c:v>MA</c:v>
                </c:pt>
                <c:pt idx="11">
                  <c:v>NFLX</c:v>
                </c:pt>
                <c:pt idx="12">
                  <c:v>KO</c:v>
                </c:pt>
                <c:pt idx="13">
                  <c:v>PEP</c:v>
                </c:pt>
                <c:pt idx="14">
                  <c:v>XOM</c:v>
                </c:pt>
                <c:pt idx="15">
                  <c:v>CVX</c:v>
                </c:pt>
                <c:pt idx="16">
                  <c:v>INTC</c:v>
                </c:pt>
                <c:pt idx="17">
                  <c:v>DIS</c:v>
                </c:pt>
                <c:pt idx="18">
                  <c:v>PYPL</c:v>
                </c:pt>
                <c:pt idx="19">
                  <c:v>ADBE</c:v>
                </c:pt>
              </c:strCache>
            </c:strRef>
          </c:cat>
          <c:val>
            <c:numRef>
              <c:f>Portfolio!$J$2:$J$21</c:f>
              <c:numCache>
                <c:formatCode>0.00%</c:formatCode>
                <c:ptCount val="20"/>
                <c:pt idx="0">
                  <c:v>4.1903342955582457E-2</c:v>
                </c:pt>
                <c:pt idx="1">
                  <c:v>4.0739361206816274E-2</c:v>
                </c:pt>
                <c:pt idx="2">
                  <c:v>4.8421640748673063E-2</c:v>
                </c:pt>
                <c:pt idx="3">
                  <c:v>6.0527050935841327E-2</c:v>
                </c:pt>
                <c:pt idx="4">
                  <c:v>4.4696899152621289E-2</c:v>
                </c:pt>
                <c:pt idx="5">
                  <c:v>5.0633206071328804E-2</c:v>
                </c:pt>
                <c:pt idx="6">
                  <c:v>5.5405531241270137E-2</c:v>
                </c:pt>
                <c:pt idx="7">
                  <c:v>7.6822795418567832E-2</c:v>
                </c:pt>
                <c:pt idx="8">
                  <c:v>4.0739361206816274E-2</c:v>
                </c:pt>
                <c:pt idx="9">
                  <c:v>6.2855014433373685E-2</c:v>
                </c:pt>
                <c:pt idx="10">
                  <c:v>5.8664680137815436E-2</c:v>
                </c:pt>
                <c:pt idx="11">
                  <c:v>5.5871123940776611E-2</c:v>
                </c:pt>
                <c:pt idx="12">
                  <c:v>4.3998510103361581E-2</c:v>
                </c:pt>
                <c:pt idx="13">
                  <c:v>6.1109041810224418E-2</c:v>
                </c:pt>
                <c:pt idx="14">
                  <c:v>6.4018996182139867E-2</c:v>
                </c:pt>
                <c:pt idx="15">
                  <c:v>4.3300121054101873E-2</c:v>
                </c:pt>
                <c:pt idx="16">
                  <c:v>3.538504516249185E-2</c:v>
                </c:pt>
                <c:pt idx="17">
                  <c:v>4.4231306453114815E-2</c:v>
                </c:pt>
                <c:pt idx="18">
                  <c:v>3.017040692801937E-2</c:v>
                </c:pt>
                <c:pt idx="19">
                  <c:v>4.050656485706304E-2</c:v>
                </c:pt>
              </c:numCache>
            </c:numRef>
          </c:val>
          <c:extLst>
            <c:ext xmlns:c16="http://schemas.microsoft.com/office/drawing/2014/chart" uri="{C3380CC4-5D6E-409C-BE32-E72D297353CC}">
              <c16:uniqueId val="{00000028-870B-4FB7-8AEA-5E411F2DDE8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o-R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and Loss</a:t>
            </a:r>
            <a:r>
              <a:rPr lang="en-US" baseline="0"/>
              <a:t> by Position</a:t>
            </a:r>
            <a:endParaRPr lang="ro-R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o-RO"/>
        </a:p>
      </c:txPr>
    </c:title>
    <c:autoTitleDeleted val="0"/>
    <c:plotArea>
      <c:layout/>
      <c:barChart>
        <c:barDir val="col"/>
        <c:grouping val="clustered"/>
        <c:varyColors val="0"/>
        <c:ser>
          <c:idx val="0"/>
          <c:order val="0"/>
          <c:tx>
            <c:strRef>
              <c:f>Portfolio!$H$1</c:f>
              <c:strCache>
                <c:ptCount val="1"/>
                <c:pt idx="0">
                  <c:v>Profit/loss</c:v>
                </c:pt>
              </c:strCache>
            </c:strRef>
          </c:tx>
          <c:spPr>
            <a:solidFill>
              <a:schemeClr val="accent1"/>
            </a:solidFill>
            <a:ln>
              <a:noFill/>
            </a:ln>
            <a:effectLst/>
          </c:spPr>
          <c:invertIfNegative val="0"/>
          <c:cat>
            <c:strRef>
              <c:f>Portfolio!$A$2:$A$21</c:f>
              <c:strCache>
                <c:ptCount val="20"/>
                <c:pt idx="0">
                  <c:v>AAPL</c:v>
                </c:pt>
                <c:pt idx="1">
                  <c:v>MSFT</c:v>
                </c:pt>
                <c:pt idx="2">
                  <c:v>TSLA</c:v>
                </c:pt>
                <c:pt idx="3">
                  <c:v>NVDA</c:v>
                </c:pt>
                <c:pt idx="4">
                  <c:v>AMZN</c:v>
                </c:pt>
                <c:pt idx="5">
                  <c:v>GOOGL</c:v>
                </c:pt>
                <c:pt idx="6">
                  <c:v>META</c:v>
                </c:pt>
                <c:pt idx="7">
                  <c:v>JPM</c:v>
                </c:pt>
                <c:pt idx="8">
                  <c:v>BAC</c:v>
                </c:pt>
                <c:pt idx="9">
                  <c:v>V</c:v>
                </c:pt>
                <c:pt idx="10">
                  <c:v>MA</c:v>
                </c:pt>
                <c:pt idx="11">
                  <c:v>NFLX</c:v>
                </c:pt>
                <c:pt idx="12">
                  <c:v>KO</c:v>
                </c:pt>
                <c:pt idx="13">
                  <c:v>PEP</c:v>
                </c:pt>
                <c:pt idx="14">
                  <c:v>XOM</c:v>
                </c:pt>
                <c:pt idx="15">
                  <c:v>CVX</c:v>
                </c:pt>
                <c:pt idx="16">
                  <c:v>INTC</c:v>
                </c:pt>
                <c:pt idx="17">
                  <c:v>DIS</c:v>
                </c:pt>
                <c:pt idx="18">
                  <c:v>PYPL</c:v>
                </c:pt>
                <c:pt idx="19">
                  <c:v>ADBE</c:v>
                </c:pt>
              </c:strCache>
            </c:strRef>
          </c:cat>
          <c:val>
            <c:numRef>
              <c:f>Portfolio!$H$2:$H$21</c:f>
              <c:numCache>
                <c:formatCode>"$"#,##0.00</c:formatCode>
                <c:ptCount val="20"/>
                <c:pt idx="0">
                  <c:v>300</c:v>
                </c:pt>
                <c:pt idx="1">
                  <c:v>250</c:v>
                </c:pt>
                <c:pt idx="2">
                  <c:v>320</c:v>
                </c:pt>
                <c:pt idx="3">
                  <c:v>600</c:v>
                </c:pt>
                <c:pt idx="4">
                  <c:v>360</c:v>
                </c:pt>
                <c:pt idx="5">
                  <c:v>375</c:v>
                </c:pt>
                <c:pt idx="6">
                  <c:v>420</c:v>
                </c:pt>
                <c:pt idx="7">
                  <c:v>500</c:v>
                </c:pt>
                <c:pt idx="8">
                  <c:v>250</c:v>
                </c:pt>
                <c:pt idx="9">
                  <c:v>500</c:v>
                </c:pt>
                <c:pt idx="10">
                  <c:v>420</c:v>
                </c:pt>
                <c:pt idx="11">
                  <c:v>400</c:v>
                </c:pt>
                <c:pt idx="12">
                  <c:v>240</c:v>
                </c:pt>
                <c:pt idx="13">
                  <c:v>225</c:v>
                </c:pt>
                <c:pt idx="14">
                  <c:v>500</c:v>
                </c:pt>
                <c:pt idx="15">
                  <c:v>180</c:v>
                </c:pt>
                <c:pt idx="16">
                  <c:v>-280</c:v>
                </c:pt>
                <c:pt idx="17">
                  <c:v>-300</c:v>
                </c:pt>
                <c:pt idx="18">
                  <c:v>-234</c:v>
                </c:pt>
                <c:pt idx="19">
                  <c:v>240</c:v>
                </c:pt>
              </c:numCache>
            </c:numRef>
          </c:val>
          <c:extLst>
            <c:ext xmlns:c16="http://schemas.microsoft.com/office/drawing/2014/chart" uri="{C3380CC4-5D6E-409C-BE32-E72D297353CC}">
              <c16:uniqueId val="{00000000-6B6B-4C98-BD13-49B755029327}"/>
            </c:ext>
          </c:extLst>
        </c:ser>
        <c:dLbls>
          <c:showLegendKey val="0"/>
          <c:showVal val="0"/>
          <c:showCatName val="0"/>
          <c:showSerName val="0"/>
          <c:showPercent val="0"/>
          <c:showBubbleSize val="0"/>
        </c:dLbls>
        <c:gapWidth val="219"/>
        <c:overlap val="-27"/>
        <c:axId val="783268847"/>
        <c:axId val="783268367"/>
      </c:barChart>
      <c:catAx>
        <c:axId val="78326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783268367"/>
        <c:crosses val="autoZero"/>
        <c:auto val="1"/>
        <c:lblAlgn val="ctr"/>
        <c:lblOffset val="100"/>
        <c:noMultiLvlLbl val="0"/>
      </c:catAx>
      <c:valAx>
        <c:axId val="783268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783268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o-R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Portfolio Dashboard v1.xlsx]Sector analysis!PivotTable1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Portfolio Allocation by Sector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ro-RO"/>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o-RO"/>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o-RO"/>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o-RO"/>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'Sector analysis'!$B$3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399-407A-B794-C63F477C860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399-407A-B794-C63F477C860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399-407A-B794-C63F477C860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399-407A-B794-C63F477C860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399-407A-B794-C63F477C860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399-407A-B794-C63F477C860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399-407A-B794-C63F477C8606}"/>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399-407A-B794-C63F477C860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ro-RO"/>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'Sector analysis'!$A$4:$A$12</c:f>
              <c:strCache>
                <c:ptCount val="8"/>
                <c:pt idx="0">
                  <c:v>Automative</c:v>
                </c:pt>
                <c:pt idx="1">
                  <c:v>Communication services</c:v>
                </c:pt>
                <c:pt idx="2">
                  <c:v>Consumer Discretionary</c:v>
                </c:pt>
                <c:pt idx="3">
                  <c:v>Consumer staples</c:v>
                </c:pt>
                <c:pt idx="4">
                  <c:v>Energy </c:v>
                </c:pt>
                <c:pt idx="5">
                  <c:v>Financial Technology</c:v>
                </c:pt>
                <c:pt idx="6">
                  <c:v>Financials</c:v>
                </c:pt>
                <c:pt idx="7">
                  <c:v>Technology</c:v>
                </c:pt>
              </c:strCache>
            </c:strRef>
          </c:cat>
          <c:val>
            <c:numRef>
              <c:f>'Sector analysis'!$B$4:$B$12</c:f>
              <c:numCache>
                <c:formatCode>0.00%</c:formatCode>
                <c:ptCount val="8"/>
                <c:pt idx="0">
                  <c:v>4.8421640748673063E-2</c:v>
                </c:pt>
                <c:pt idx="1">
                  <c:v>0.10010243039389143</c:v>
                </c:pt>
                <c:pt idx="2">
                  <c:v>4.4696899152621289E-2</c:v>
                </c:pt>
                <c:pt idx="3">
                  <c:v>0.10510755191358599</c:v>
                </c:pt>
                <c:pt idx="4">
                  <c:v>0.10731911723624174</c:v>
                </c:pt>
                <c:pt idx="5">
                  <c:v>3.017040692801937E-2</c:v>
                </c:pt>
                <c:pt idx="6">
                  <c:v>0.23908185119657324</c:v>
                </c:pt>
                <c:pt idx="7">
                  <c:v>0.32510010243039389</c:v>
                </c:pt>
              </c:numCache>
            </c:numRef>
          </c:val>
          <c:extLst>
            <c:ext xmlns:c16="http://schemas.microsoft.com/office/drawing/2014/chart" uri="{C3380CC4-5D6E-409C-BE32-E72D297353CC}">
              <c16:uniqueId val="{00000010-8399-407A-B794-C63F477C860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8714698162729659"/>
          <c:y val="0.3104031787693205"/>
          <c:w val="0.29618635170603674"/>
          <c:h val="0.6789599737532808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ro-R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ro-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Portfolio Dashboard v1.xlsx]Sector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Portfolio Allocation by Sector</a:t>
            </a:r>
            <a:endParaRPr lang="ro-R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o-R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'Sector analysis'!$B$3</c:f>
              <c:strCache>
                <c:ptCount val="1"/>
                <c:pt idx="0">
                  <c:v>Total</c:v>
                </c:pt>
              </c:strCache>
            </c:strRef>
          </c:tx>
          <c:spPr>
            <a:solidFill>
              <a:schemeClr val="accent1"/>
            </a:solidFill>
            <a:ln>
              <a:noFill/>
            </a:ln>
            <a:effectLst/>
          </c:spPr>
          <c:invertIfNegative val="0"/>
          <c:cat>
            <c:strRef>
              <c:f>'Sector analysis'!$A$4:$A$12</c:f>
              <c:strCache>
                <c:ptCount val="8"/>
                <c:pt idx="0">
                  <c:v>Automative</c:v>
                </c:pt>
                <c:pt idx="1">
                  <c:v>Communication services</c:v>
                </c:pt>
                <c:pt idx="2">
                  <c:v>Consumer Discretionary</c:v>
                </c:pt>
                <c:pt idx="3">
                  <c:v>Consumer staples</c:v>
                </c:pt>
                <c:pt idx="4">
                  <c:v>Energy </c:v>
                </c:pt>
                <c:pt idx="5">
                  <c:v>Financial Technology</c:v>
                </c:pt>
                <c:pt idx="6">
                  <c:v>Financials</c:v>
                </c:pt>
                <c:pt idx="7">
                  <c:v>Technology</c:v>
                </c:pt>
              </c:strCache>
            </c:strRef>
          </c:cat>
          <c:val>
            <c:numRef>
              <c:f>'Sector analysis'!$B$4:$B$12</c:f>
              <c:numCache>
                <c:formatCode>0.00%</c:formatCode>
                <c:ptCount val="8"/>
                <c:pt idx="0">
                  <c:v>4.8421640748673063E-2</c:v>
                </c:pt>
                <c:pt idx="1">
                  <c:v>0.10010243039389143</c:v>
                </c:pt>
                <c:pt idx="2">
                  <c:v>4.4696899152621289E-2</c:v>
                </c:pt>
                <c:pt idx="3">
                  <c:v>0.10510755191358599</c:v>
                </c:pt>
                <c:pt idx="4">
                  <c:v>0.10731911723624174</c:v>
                </c:pt>
                <c:pt idx="5">
                  <c:v>3.017040692801937E-2</c:v>
                </c:pt>
                <c:pt idx="6">
                  <c:v>0.23908185119657324</c:v>
                </c:pt>
                <c:pt idx="7">
                  <c:v>0.32510010243039389</c:v>
                </c:pt>
              </c:numCache>
            </c:numRef>
          </c:val>
          <c:extLst>
            <c:ext xmlns:c16="http://schemas.microsoft.com/office/drawing/2014/chart" uri="{C3380CC4-5D6E-409C-BE32-E72D297353CC}">
              <c16:uniqueId val="{00000000-E0A3-4BB4-B93D-54A7357E6EED}"/>
            </c:ext>
          </c:extLst>
        </c:ser>
        <c:dLbls>
          <c:showLegendKey val="0"/>
          <c:showVal val="0"/>
          <c:showCatName val="0"/>
          <c:showSerName val="0"/>
          <c:showPercent val="0"/>
          <c:showBubbleSize val="0"/>
        </c:dLbls>
        <c:gapWidth val="219"/>
        <c:overlap val="-27"/>
        <c:axId val="435365103"/>
        <c:axId val="435365583"/>
      </c:barChart>
      <c:catAx>
        <c:axId val="43536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435365583"/>
        <c:crosses val="autoZero"/>
        <c:auto val="1"/>
        <c:lblAlgn val="ctr"/>
        <c:lblOffset val="100"/>
        <c:noMultiLvlLbl val="0"/>
      </c:catAx>
      <c:valAx>
        <c:axId val="435365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43536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o-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304800</xdr:colOff>
      <xdr:row>23</xdr:row>
      <xdr:rowOff>0</xdr:rowOff>
    </xdr:to>
    <xdr:graphicFrame macro="">
      <xdr:nvGraphicFramePr>
        <xdr:cNvPr id="2" name="Chart 1">
          <a:extLst>
            <a:ext uri="{FF2B5EF4-FFF2-40B4-BE49-F238E27FC236}">
              <a16:creationId xmlns:a16="http://schemas.microsoft.com/office/drawing/2014/main" id="{384C6A96-70AA-419E-B5D3-420ED5745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xdr:row>
      <xdr:rowOff>0</xdr:rowOff>
    </xdr:from>
    <xdr:to>
      <xdr:col>18</xdr:col>
      <xdr:colOff>304800</xdr:colOff>
      <xdr:row>23</xdr:row>
      <xdr:rowOff>0</xdr:rowOff>
    </xdr:to>
    <xdr:graphicFrame macro="">
      <xdr:nvGraphicFramePr>
        <xdr:cNvPr id="3" name="Chart 2">
          <a:extLst>
            <a:ext uri="{FF2B5EF4-FFF2-40B4-BE49-F238E27FC236}">
              <a16:creationId xmlns:a16="http://schemas.microsoft.com/office/drawing/2014/main" id="{ECF63DDF-80FE-4DE5-9693-47D8541EB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332740</xdr:colOff>
      <xdr:row>2</xdr:row>
      <xdr:rowOff>150707</xdr:rowOff>
    </xdr:from>
    <xdr:to>
      <xdr:col>26</xdr:col>
      <xdr:colOff>27940</xdr:colOff>
      <xdr:row>23</xdr:row>
      <xdr:rowOff>8467</xdr:rowOff>
    </xdr:to>
    <xdr:graphicFrame macro="">
      <xdr:nvGraphicFramePr>
        <xdr:cNvPr id="4" name="Chart 3">
          <a:extLst>
            <a:ext uri="{FF2B5EF4-FFF2-40B4-BE49-F238E27FC236}">
              <a16:creationId xmlns:a16="http://schemas.microsoft.com/office/drawing/2014/main" id="{573FA536-E48D-4E06-92F2-49DEB6A06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281940</xdr:colOff>
      <xdr:row>0</xdr:row>
      <xdr:rowOff>83820</xdr:rowOff>
    </xdr:from>
    <xdr:to>
      <xdr:col>10</xdr:col>
      <xdr:colOff>586740</xdr:colOff>
      <xdr:row>15</xdr:row>
      <xdr:rowOff>83820</xdr:rowOff>
    </xdr:to>
    <xdr:graphicFrame macro="">
      <xdr:nvGraphicFramePr>
        <xdr:cNvPr id="2" name="Chart 1">
          <a:extLst>
            <a:ext uri="{FF2B5EF4-FFF2-40B4-BE49-F238E27FC236}">
              <a16:creationId xmlns:a16="http://schemas.microsoft.com/office/drawing/2014/main" id="{7255AFEE-03C9-3093-6066-5674280FD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586740</xdr:colOff>
      <xdr:row>0</xdr:row>
      <xdr:rowOff>83820</xdr:rowOff>
    </xdr:from>
    <xdr:to>
      <xdr:col>13</xdr:col>
      <xdr:colOff>586740</xdr:colOff>
      <xdr:row>14</xdr:row>
      <xdr:rowOff>104775</xdr:rowOff>
    </xdr:to>
    <mc:AlternateContent xmlns:mc="http://schemas.openxmlformats.org/markup-compatibility/2006" xmlns:a14="http://schemas.microsoft.com/office/drawing/2010/main">
      <mc:Choice Requires="a14">
        <xdr:graphicFrame macro="">
          <xdr:nvGraphicFramePr>
            <xdr:cNvPr id="4" name="Ticker">
              <a:extLst>
                <a:ext uri="{FF2B5EF4-FFF2-40B4-BE49-F238E27FC236}">
                  <a16:creationId xmlns:a16="http://schemas.microsoft.com/office/drawing/2014/main" id="{6B094114-1122-750E-9E92-5CB37C636756}"/>
                </a:ext>
              </a:extLst>
            </xdr:cNvPr>
            <xdr:cNvGraphicFramePr/>
          </xdr:nvGraphicFramePr>
          <xdr:xfrm>
            <a:off x="0" y="0"/>
            <a:ext cx="0" cy="0"/>
          </xdr:xfrm>
          <a:graphic>
            <a:graphicData uri="http://schemas.microsoft.com/office/drawing/2010/slicer">
              <sle:slicer xmlns:sle="http://schemas.microsoft.com/office/drawing/2010/slicer" name="Ticker"/>
            </a:graphicData>
          </a:graphic>
        </xdr:graphicFrame>
      </mc:Choice>
      <mc:Fallback xmlns="">
        <xdr:sp macro="" textlink="">
          <xdr:nvSpPr>
            <xdr:cNvPr id="0" name=""/>
            <xdr:cNvSpPr>
              <a:spLocks noTextEdit="1"/>
            </xdr:cNvSpPr>
          </xdr:nvSpPr>
          <xdr:spPr>
            <a:xfrm>
              <a:off x="7680960" y="83820"/>
              <a:ext cx="1828800" cy="2581275"/>
            </a:xfrm>
            <a:prstGeom prst="rect">
              <a:avLst/>
            </a:prstGeom>
            <a:solidFill>
              <a:prstClr val="white"/>
            </a:solidFill>
            <a:ln w="1">
              <a:solidFill>
                <a:prstClr val="green"/>
              </a:solidFill>
            </a:ln>
          </xdr:spPr>
          <xdr:txBody>
            <a:bodyPr vertOverflow="clip" horzOverflow="clip"/>
            <a:lstStyle/>
            <a:p>
              <a:r>
                <a:rPr lang="ro-R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0</xdr:row>
      <xdr:rowOff>99060</xdr:rowOff>
    </xdr:from>
    <xdr:to>
      <xdr:col>16</xdr:col>
      <xdr:colOff>571500</xdr:colOff>
      <xdr:row>14</xdr:row>
      <xdr:rowOff>120015</xdr:rowOff>
    </xdr:to>
    <mc:AlternateContent xmlns:mc="http://schemas.openxmlformats.org/markup-compatibility/2006" xmlns:a14="http://schemas.microsoft.com/office/drawing/2010/main">
      <mc:Choice Requires="a14">
        <xdr:graphicFrame macro="">
          <xdr:nvGraphicFramePr>
            <xdr:cNvPr id="5" name="Sector">
              <a:extLst>
                <a:ext uri="{FF2B5EF4-FFF2-40B4-BE49-F238E27FC236}">
                  <a16:creationId xmlns:a16="http://schemas.microsoft.com/office/drawing/2014/main" id="{3DF3911B-D1EA-5727-2CB5-3FCF4B449004}"/>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9494520" y="99060"/>
              <a:ext cx="1828800" cy="2581275"/>
            </a:xfrm>
            <a:prstGeom prst="rect">
              <a:avLst/>
            </a:prstGeom>
            <a:solidFill>
              <a:prstClr val="white"/>
            </a:solidFill>
            <a:ln w="1">
              <a:solidFill>
                <a:prstClr val="green"/>
              </a:solidFill>
            </a:ln>
          </xdr:spPr>
          <xdr:txBody>
            <a:bodyPr vertOverflow="clip" horzOverflow="clip"/>
            <a:lstStyle/>
            <a:p>
              <a:r>
                <a:rPr lang="ro-R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xdr:colOff>
      <xdr:row>0</xdr:row>
      <xdr:rowOff>114300</xdr:rowOff>
    </xdr:from>
    <xdr:to>
      <xdr:col>8</xdr:col>
      <xdr:colOff>434340</xdr:colOff>
      <xdr:row>4</xdr:row>
      <xdr:rowOff>129540</xdr:rowOff>
    </xdr:to>
    <xdr:sp macro="" textlink="">
      <xdr:nvSpPr>
        <xdr:cNvPr id="2" name="TextBox 1">
          <a:extLst>
            <a:ext uri="{FF2B5EF4-FFF2-40B4-BE49-F238E27FC236}">
              <a16:creationId xmlns:a16="http://schemas.microsoft.com/office/drawing/2014/main" id="{66C4424A-CA21-94FE-8367-FA60CA82F334}"/>
            </a:ext>
          </a:extLst>
        </xdr:cNvPr>
        <xdr:cNvSpPr txBox="1"/>
      </xdr:nvSpPr>
      <xdr:spPr>
        <a:xfrm>
          <a:off x="45720" y="114300"/>
          <a:ext cx="5265420" cy="746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Dashboard tracks Portfolio performance across multiple asset holdings.</a:t>
          </a:r>
          <a:r>
            <a:rPr lang="en-US" sz="1100" baseline="0"/>
            <a:t> It provides allocation, profitability, diversification and sector exposure analysis using Excel formulas, Pivot tables, XLOOKUP and interactive reporting components.</a:t>
          </a:r>
          <a:endParaRPr lang="ro-RO"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oBook" refreshedDate="46193.635209490742" createdVersion="8" refreshedVersion="8" minRefreshableVersion="3" recordCount="20" xr:uid="{6A917262-D946-4D1B-B69F-0566CA14A5B2}">
  <cacheSource type="worksheet">
    <worksheetSource name="PortfolioTable"/>
  </cacheSource>
  <cacheFields count="10">
    <cacheField name="Ticker" numFmtId="0">
      <sharedItems count="20">
        <s v="AAPL"/>
        <s v="MSFT"/>
        <s v="TSLA"/>
        <s v="NVDA"/>
        <s v="AMZN"/>
        <s v="GOOGL"/>
        <s v="META"/>
        <s v="JPM"/>
        <s v="BAC"/>
        <s v="V"/>
        <s v="MA"/>
        <s v="NFLX"/>
        <s v="KO"/>
        <s v="PEP"/>
        <s v="XOM"/>
        <s v="CVX"/>
        <s v="INTC"/>
        <s v="DIS"/>
        <s v="PYPL"/>
        <s v="ADBE"/>
      </sharedItems>
    </cacheField>
    <cacheField name="Sector" numFmtId="0">
      <sharedItems count="8">
        <s v="Technology"/>
        <s v="Automative"/>
        <s v="Consumer Discretionary"/>
        <s v="Financialas"/>
        <s v="Communication services"/>
        <s v="Consumer staples"/>
        <s v="Energy "/>
        <s v="Financial Technology"/>
      </sharedItems>
    </cacheField>
    <cacheField name="Purchase Price" numFmtId="164">
      <sharedItems containsSemiMixedTypes="0" containsString="0" containsNumber="1" containsInteger="1" minValue="30" maxValue="500"/>
    </cacheField>
    <cacheField name="Current Price" numFmtId="164">
      <sharedItems containsSemiMixedTypes="0" containsString="0" containsNumber="1" containsInteger="1" minValue="35" maxValue="650"/>
    </cacheField>
    <cacheField name="Quantitiy" numFmtId="164">
      <sharedItems containsSemiMixedTypes="0" containsString="0" containsNumber="1" containsInteger="1" minValue="3" maxValue="50"/>
    </cacheField>
    <cacheField name="Investment" numFmtId="164">
      <sharedItems containsSemiMixedTypes="0" containsString="0" containsNumber="1" containsInteger="1" minValue="1500" maxValue="2800"/>
    </cacheField>
    <cacheField name="Current value" numFmtId="164">
      <sharedItems containsSemiMixedTypes="0" containsString="0" containsNumber="1" containsInteger="1" minValue="1296" maxValue="3300"/>
    </cacheField>
    <cacheField name="Profit/loss" numFmtId="164">
      <sharedItems containsSemiMixedTypes="0" containsString="0" containsNumber="1" containsInteger="1" minValue="-300" maxValue="600"/>
    </cacheField>
    <cacheField name="Return %" numFmtId="10">
      <sharedItems containsSemiMixedTypes="0" containsString="0" containsNumber="1" minValue="-0.15555555555555556" maxValue="0.3"/>
    </cacheField>
    <cacheField name="Asset Allocation %" numFmtId="10">
      <sharedItems containsSemiMixedTypes="0" containsString="0" containsNumber="1" minValue="3.017040692801937E-2" maxValue="7.6822795418567832E-2"/>
    </cacheField>
  </cacheFields>
  <extLst>
    <ext xmlns:x14="http://schemas.microsoft.com/office/spreadsheetml/2009/9/main" uri="{725AE2AE-9491-48be-B2B4-4EB974FC3084}">
      <x14:pivotCacheDefinition pivotCacheId="1201637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150"/>
    <n v="180"/>
    <n v="10"/>
    <n v="1500"/>
    <n v="1800"/>
    <n v="300"/>
    <n v="0.2"/>
    <n v="4.1903342955582457E-2"/>
  </r>
  <r>
    <x v="1"/>
    <x v="0"/>
    <n v="300"/>
    <n v="350"/>
    <n v="5"/>
    <n v="1500"/>
    <n v="1750"/>
    <n v="250"/>
    <n v="0.16666666666666666"/>
    <n v="4.0739361206816274E-2"/>
  </r>
  <r>
    <x v="2"/>
    <x v="1"/>
    <n v="220"/>
    <n v="260"/>
    <n v="8"/>
    <n v="1760"/>
    <n v="2080"/>
    <n v="320"/>
    <n v="0.18181818181818182"/>
    <n v="4.8421640748673063E-2"/>
  </r>
  <r>
    <x v="3"/>
    <x v="0"/>
    <n v="500"/>
    <n v="650"/>
    <n v="4"/>
    <n v="2000"/>
    <n v="2600"/>
    <n v="600"/>
    <n v="0.3"/>
    <n v="6.0527050935841327E-2"/>
  </r>
  <r>
    <x v="4"/>
    <x v="2"/>
    <n v="130"/>
    <n v="160"/>
    <n v="12"/>
    <n v="1560"/>
    <n v="1920"/>
    <n v="360"/>
    <n v="0.23076923076923078"/>
    <n v="4.4696899152621289E-2"/>
  </r>
  <r>
    <x v="5"/>
    <x v="0"/>
    <n v="120"/>
    <n v="145"/>
    <n v="15"/>
    <n v="1800"/>
    <n v="2175"/>
    <n v="375"/>
    <n v="0.20833333333333334"/>
    <n v="5.0633206071328804E-2"/>
  </r>
  <r>
    <x v="6"/>
    <x v="0"/>
    <n v="280"/>
    <n v="340"/>
    <n v="7"/>
    <n v="1960"/>
    <n v="2380"/>
    <n v="420"/>
    <n v="0.21428571428571427"/>
    <n v="5.5405531241270137E-2"/>
  </r>
  <r>
    <x v="7"/>
    <x v="3"/>
    <n v="140"/>
    <n v="165"/>
    <n v="20"/>
    <n v="2800"/>
    <n v="3300"/>
    <n v="500"/>
    <n v="0.17857142857142858"/>
    <n v="7.6822795418567832E-2"/>
  </r>
  <r>
    <x v="8"/>
    <x v="3"/>
    <n v="30"/>
    <n v="35"/>
    <n v="50"/>
    <n v="1500"/>
    <n v="1750"/>
    <n v="250"/>
    <n v="0.16666666666666666"/>
    <n v="4.0739361206816274E-2"/>
  </r>
  <r>
    <x v="9"/>
    <x v="3"/>
    <n v="220"/>
    <n v="270"/>
    <n v="10"/>
    <n v="2200"/>
    <n v="2700"/>
    <n v="500"/>
    <n v="0.22727272727272727"/>
    <n v="6.2855014433373685E-2"/>
  </r>
  <r>
    <x v="10"/>
    <x v="3"/>
    <n v="350"/>
    <n v="420"/>
    <n v="6"/>
    <n v="2100"/>
    <n v="2520"/>
    <n v="420"/>
    <n v="0.2"/>
    <n v="5.8664680137815436E-2"/>
  </r>
  <r>
    <x v="11"/>
    <x v="4"/>
    <n v="400"/>
    <n v="480"/>
    <n v="5"/>
    <n v="2000"/>
    <n v="2400"/>
    <n v="400"/>
    <n v="0.2"/>
    <n v="5.5871123940776611E-2"/>
  </r>
  <r>
    <x v="12"/>
    <x v="5"/>
    <n v="55"/>
    <n v="63"/>
    <n v="30"/>
    <n v="1650"/>
    <n v="1890"/>
    <n v="240"/>
    <n v="0.14545454545454545"/>
    <n v="4.3998510103361581E-2"/>
  </r>
  <r>
    <x v="13"/>
    <x v="5"/>
    <n v="160"/>
    <n v="175"/>
    <n v="15"/>
    <n v="2400"/>
    <n v="2625"/>
    <n v="225"/>
    <n v="9.375E-2"/>
    <n v="6.1109041810224418E-2"/>
  </r>
  <r>
    <x v="14"/>
    <x v="6"/>
    <n v="90"/>
    <n v="110"/>
    <n v="25"/>
    <n v="2250"/>
    <n v="2750"/>
    <n v="500"/>
    <n v="0.22222222222222221"/>
    <n v="6.4018996182139867E-2"/>
  </r>
  <r>
    <x v="15"/>
    <x v="6"/>
    <n v="140"/>
    <n v="155"/>
    <n v="12"/>
    <n v="1680"/>
    <n v="1860"/>
    <n v="180"/>
    <n v="0.10714285714285714"/>
    <n v="4.3300121054101873E-2"/>
  </r>
  <r>
    <x v="16"/>
    <x v="0"/>
    <n v="45"/>
    <n v="38"/>
    <n v="40"/>
    <n v="1800"/>
    <n v="1520"/>
    <n v="-280"/>
    <n v="-0.15555555555555556"/>
    <n v="3.538504516249185E-2"/>
  </r>
  <r>
    <x v="17"/>
    <x v="4"/>
    <n v="110"/>
    <n v="95"/>
    <n v="20"/>
    <n v="2200"/>
    <n v="1900"/>
    <n v="-300"/>
    <n v="-0.13636363636363635"/>
    <n v="4.4231306453114815E-2"/>
  </r>
  <r>
    <x v="18"/>
    <x v="7"/>
    <n v="85"/>
    <n v="72"/>
    <n v="18"/>
    <n v="1530"/>
    <n v="1296"/>
    <n v="-234"/>
    <n v="-0.15294117647058825"/>
    <n v="3.017040692801937E-2"/>
  </r>
  <r>
    <x v="19"/>
    <x v="0"/>
    <n v="500"/>
    <n v="580"/>
    <n v="3"/>
    <n v="1500"/>
    <n v="1740"/>
    <n v="240"/>
    <n v="0.16"/>
    <n v="4.050656485706304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C29CF3-16EB-426F-8A94-7BD02705D3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ector">
  <location ref="A3:B12" firstHeaderRow="1" firstDataRow="1" firstDataCol="1"/>
  <pivotFields count="10">
    <pivotField showAll="0">
      <items count="21">
        <item x="0"/>
        <item x="19"/>
        <item x="4"/>
        <item x="8"/>
        <item x="15"/>
        <item x="17"/>
        <item x="5"/>
        <item x="16"/>
        <item x="7"/>
        <item x="12"/>
        <item x="10"/>
        <item x="6"/>
        <item x="1"/>
        <item x="11"/>
        <item x="3"/>
        <item x="13"/>
        <item x="18"/>
        <item x="2"/>
        <item x="9"/>
        <item x="14"/>
        <item t="default"/>
      </items>
    </pivotField>
    <pivotField axis="axisRow" showAll="0">
      <items count="9">
        <item x="1"/>
        <item x="4"/>
        <item x="2"/>
        <item x="5"/>
        <item x="6"/>
        <item x="7"/>
        <item n="Financials" x="3"/>
        <item x="0"/>
        <item t="default"/>
      </items>
    </pivotField>
    <pivotField numFmtId="164" showAll="0"/>
    <pivotField numFmtId="164" showAll="0"/>
    <pivotField numFmtId="164" showAll="0"/>
    <pivotField numFmtId="164" showAll="0"/>
    <pivotField dataField="1" numFmtId="164" showAll="0"/>
    <pivotField numFmtId="164" showAll="0"/>
    <pivotField numFmtId="10" showAll="0"/>
    <pivotField numFmtId="10" showAll="0"/>
  </pivotFields>
  <rowFields count="1">
    <field x="1"/>
  </rowFields>
  <rowItems count="9">
    <i>
      <x/>
    </i>
    <i>
      <x v="1"/>
    </i>
    <i>
      <x v="2"/>
    </i>
    <i>
      <x v="3"/>
    </i>
    <i>
      <x v="4"/>
    </i>
    <i>
      <x v="5"/>
    </i>
    <i>
      <x v="6"/>
    </i>
    <i>
      <x v="7"/>
    </i>
    <i t="grand">
      <x/>
    </i>
  </rowItems>
  <colItems count="1">
    <i/>
  </colItems>
  <dataFields count="1">
    <dataField name="Allocation %" fld="6"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 count="1" selected="0">
            <x v="0"/>
          </reference>
        </references>
      </pivotArea>
    </chartFormat>
    <chartFormat chart="10" format="12">
      <pivotArea type="data" outline="0" fieldPosition="0">
        <references count="2">
          <reference field="4294967294" count="1" selected="0">
            <x v="0"/>
          </reference>
          <reference field="1" count="1" selected="0">
            <x v="1"/>
          </reference>
        </references>
      </pivotArea>
    </chartFormat>
    <chartFormat chart="10" format="13">
      <pivotArea type="data" outline="0" fieldPosition="0">
        <references count="2">
          <reference field="4294967294" count="1" selected="0">
            <x v="0"/>
          </reference>
          <reference field="1" count="1" selected="0">
            <x v="2"/>
          </reference>
        </references>
      </pivotArea>
    </chartFormat>
    <chartFormat chart="10" format="14">
      <pivotArea type="data" outline="0" fieldPosition="0">
        <references count="2">
          <reference field="4294967294" count="1" selected="0">
            <x v="0"/>
          </reference>
          <reference field="1" count="1" selected="0">
            <x v="3"/>
          </reference>
        </references>
      </pivotArea>
    </chartFormat>
    <chartFormat chart="10" format="15">
      <pivotArea type="data" outline="0" fieldPosition="0">
        <references count="2">
          <reference field="4294967294" count="1" selected="0">
            <x v="0"/>
          </reference>
          <reference field="1" count="1" selected="0">
            <x v="4"/>
          </reference>
        </references>
      </pivotArea>
    </chartFormat>
    <chartFormat chart="10" format="16">
      <pivotArea type="data" outline="0" fieldPosition="0">
        <references count="2">
          <reference field="4294967294" count="1" selected="0">
            <x v="0"/>
          </reference>
          <reference field="1" count="1" selected="0">
            <x v="5"/>
          </reference>
        </references>
      </pivotArea>
    </chartFormat>
    <chartFormat chart="10" format="17">
      <pivotArea type="data" outline="0" fieldPosition="0">
        <references count="2">
          <reference field="4294967294" count="1" selected="0">
            <x v="0"/>
          </reference>
          <reference field="1" count="1" selected="0">
            <x v="6"/>
          </reference>
        </references>
      </pivotArea>
    </chartFormat>
    <chartFormat chart="10" format="18">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 xr10:uid="{AC1FD8A4-99EA-4198-8329-EC62421E7814}" sourceName="Ticker">
  <pivotTables>
    <pivotTable tabId="4" name="PivotTable1"/>
  </pivotTables>
  <data>
    <tabular pivotCacheId="1201637013">
      <items count="20">
        <i x="0" s="1"/>
        <i x="19" s="1"/>
        <i x="4" s="1"/>
        <i x="8" s="1"/>
        <i x="15" s="1"/>
        <i x="17" s="1"/>
        <i x="5" s="1"/>
        <i x="16" s="1"/>
        <i x="7" s="1"/>
        <i x="12" s="1"/>
        <i x="10" s="1"/>
        <i x="6" s="1"/>
        <i x="1" s="1"/>
        <i x="11" s="1"/>
        <i x="3" s="1"/>
        <i x="13" s="1"/>
        <i x="18" s="1"/>
        <i x="2" s="1"/>
        <i x="9"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55F57D83-5567-477A-85B6-0AD7294E9335}" sourceName="Sector">
  <pivotTables>
    <pivotTable tabId="4" name="PivotTable1"/>
  </pivotTables>
  <data>
    <tabular pivotCacheId="1201637013">
      <items count="8">
        <i x="1" s="1"/>
        <i x="4" s="1"/>
        <i x="2" s="1"/>
        <i x="5" s="1"/>
        <i x="6" s="1"/>
        <i x="7"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r" xr10:uid="{8D7BF82D-3B11-4A78-95FB-F86FB3A8C687}" cache="Slicer_Ticker" caption="Ticker" rowHeight="247650"/>
  <slicer name="Sector" xr10:uid="{8FCEA38B-6413-4A2F-A3EB-6F54B72CD8DD}" cache="Slicer_Sector" caption="Secto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F0406-5422-4326-8602-0BAA01979EC9}" name="PortfolioTable" displayName="PortfolioTable" ref="A1:L22" totalsRowCount="1" headerRowDxfId="22">
  <autoFilter ref="A1:L21" xr:uid="{06EF0406-5422-4326-8602-0BAA01979EC9}"/>
  <tableColumns count="12">
    <tableColumn id="1" xr3:uid="{76FD9600-6527-43FA-AC6C-6AEFED678EB6}" name="Ticker"/>
    <tableColumn id="10" xr3:uid="{1FC493B1-DE17-45C8-925B-E45DC8759084}" name="Sector"/>
    <tableColumn id="2" xr3:uid="{11FE996E-C891-4C5F-BB0E-F730490E8A15}" name="Purchase Price" dataDxfId="21" totalsRowDxfId="20"/>
    <tableColumn id="3" xr3:uid="{348CFA46-5C10-4088-8304-CE4FC93C7344}" name="Current Price" dataDxfId="19" totalsRowDxfId="18">
      <calculatedColumnFormula>_xlfn.XLOOKUP(PortfolioTable[[#This Row],[Ticker]],'Market Data'!A2:A21,'Market Data'!B2:B21)</calculatedColumnFormula>
    </tableColumn>
    <tableColumn id="4" xr3:uid="{C83111B2-CF29-457A-834B-39DDE1F64BDB}" name="Quantitiy" dataDxfId="17" totalsRowDxfId="16"/>
    <tableColumn id="5" xr3:uid="{C6C62915-A576-4A57-8936-AB648D1EC0F7}" name="Investment" dataDxfId="15" totalsRowDxfId="14">
      <calculatedColumnFormula>C2*E2</calculatedColumnFormula>
    </tableColumn>
    <tableColumn id="6" xr3:uid="{03B62F1F-9FDC-45DF-A162-FAD71D01A32A}" name="Current value" dataDxfId="13" totalsRowDxfId="12">
      <calculatedColumnFormula>D2*E2</calculatedColumnFormula>
    </tableColumn>
    <tableColumn id="7" xr3:uid="{E948C7AA-7A0D-4748-B1BF-D93BE4BED192}" name="Profit/loss" dataDxfId="11" totalsRowDxfId="10">
      <calculatedColumnFormula>G2-F2</calculatedColumnFormula>
    </tableColumn>
    <tableColumn id="8" xr3:uid="{E0DE4A3A-E0B1-4D44-96F8-108582027BF8}" name="Return %" dataDxfId="9" totalsRowDxfId="8">
      <calculatedColumnFormula>(G2-F2)/F2</calculatedColumnFormula>
    </tableColumn>
    <tableColumn id="9" xr3:uid="{5359F125-49EF-4FD1-AE21-241CBFEC1EE5}" name="Asset Allocation %" dataDxfId="7" totalsRowDxfId="6">
      <calculatedColumnFormula>PortfolioTable[[#This Row],[Current value]]/SUM(PortfolioTable[Current value])</calculatedColumnFormula>
    </tableColumn>
    <tableColumn id="12" xr3:uid="{87D7EE55-49FE-498B-8301-8F5189E004B4}" name="contribution to profit/loss %" dataDxfId="5">
      <calculatedColumnFormula>PortfolioTable[[#This Row],[Profit/loss]]/$G$25</calculatedColumnFormula>
    </tableColumn>
    <tableColumn id="13" xr3:uid="{6B5E491E-B5F6-4C64-A638-983CC719F1B8}" name="Risk category" dataDxfId="4">
      <calculatedColumnFormula>IF(PortfolioTable[[#This Row],[Return %]]&gt;20%, "high performer", IF(PortfolioTable[[#This Row],[Return %]]&gt;5%, "moderate performer", "underperformer"))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7EB9C-5768-40C5-9C0D-9F40EE27D898}">
  <dimension ref="A1:L30"/>
  <sheetViews>
    <sheetView tabSelected="1" zoomScale="80" zoomScaleNormal="80" workbookViewId="0">
      <selection activeCell="B25" sqref="B25"/>
    </sheetView>
  </sheetViews>
  <sheetFormatPr defaultRowHeight="14.4" x14ac:dyDescent="0.3"/>
  <cols>
    <col min="1" max="1" width="8" customWidth="1"/>
    <col min="2" max="2" width="21" bestFit="1" customWidth="1"/>
    <col min="3" max="3" width="15.77734375" bestFit="1" customWidth="1"/>
    <col min="4" max="4" width="13.77734375" customWidth="1"/>
    <col min="5" max="5" width="10.5546875" customWidth="1"/>
    <col min="6" max="6" width="18.33203125" bestFit="1" customWidth="1"/>
    <col min="7" max="7" width="13.88671875" customWidth="1"/>
    <col min="8" max="8" width="11.44140625" customWidth="1"/>
    <col min="9" max="9" width="10.21875" customWidth="1"/>
    <col min="10" max="10" width="20.5546875" bestFit="1" customWidth="1"/>
    <col min="11" max="11" width="26.5546875" bestFit="1" customWidth="1"/>
    <col min="12" max="12" width="17.44140625" bestFit="1" customWidth="1"/>
  </cols>
  <sheetData>
    <row r="1" spans="1:12" x14ac:dyDescent="0.3">
      <c r="A1" s="2" t="s">
        <v>0</v>
      </c>
      <c r="B1" s="2" t="s">
        <v>33</v>
      </c>
      <c r="C1" s="2" t="s">
        <v>1</v>
      </c>
      <c r="D1" s="2" t="s">
        <v>2</v>
      </c>
      <c r="E1" s="2" t="s">
        <v>3</v>
      </c>
      <c r="F1" s="2" t="s">
        <v>4</v>
      </c>
      <c r="G1" s="2" t="s">
        <v>5</v>
      </c>
      <c r="H1" s="2" t="s">
        <v>6</v>
      </c>
      <c r="I1" s="2" t="s">
        <v>7</v>
      </c>
      <c r="J1" s="2" t="s">
        <v>43</v>
      </c>
      <c r="K1" s="2" t="s">
        <v>61</v>
      </c>
      <c r="L1" s="2" t="s">
        <v>66</v>
      </c>
    </row>
    <row r="2" spans="1:12" x14ac:dyDescent="0.3">
      <c r="A2" t="s">
        <v>8</v>
      </c>
      <c r="B2" t="s">
        <v>34</v>
      </c>
      <c r="C2" s="3">
        <v>150</v>
      </c>
      <c r="D2" s="3">
        <f>_xlfn.XLOOKUP(PortfolioTable[[#This Row],[Ticker]],'Market Data'!A2:A21,'Market Data'!B2:B21)</f>
        <v>180</v>
      </c>
      <c r="E2" s="3">
        <v>10</v>
      </c>
      <c r="F2" s="3">
        <f>C2*E2</f>
        <v>1500</v>
      </c>
      <c r="G2" s="3">
        <f>D2*E2</f>
        <v>1800</v>
      </c>
      <c r="H2" s="3">
        <f>G2-F2</f>
        <v>300</v>
      </c>
      <c r="I2" s="1">
        <f>(G2-F2)/F2</f>
        <v>0.2</v>
      </c>
      <c r="J2" s="1">
        <f>PortfolioTable[[#This Row],[Current value]]/SUM(PortfolioTable[Current value])</f>
        <v>4.1903342955582457E-2</v>
      </c>
      <c r="K2" s="1">
        <f>PortfolioTable[[#This Row],[Profit/loss]]/$G$25</f>
        <v>5.6969236612229399E-2</v>
      </c>
      <c r="L2" s="1" t="str">
        <f>IF(PortfolioTable[[#This Row],[Return %]]&gt;20%, "high performer", IF(PortfolioTable[[#This Row],[Return %]]&gt;5%, "moderate performer", "underperformer"))</f>
        <v>moderate performer</v>
      </c>
    </row>
    <row r="3" spans="1:12" x14ac:dyDescent="0.3">
      <c r="A3" t="s">
        <v>9</v>
      </c>
      <c r="B3" t="s">
        <v>34</v>
      </c>
      <c r="C3" s="3">
        <v>300</v>
      </c>
      <c r="D3" s="3">
        <f>_xlfn.XLOOKUP(PortfolioTable[[#This Row],[Ticker]],'Market Data'!A3:A22,'Market Data'!B3:B22)</f>
        <v>350</v>
      </c>
      <c r="E3" s="3">
        <v>5</v>
      </c>
      <c r="F3" s="3">
        <f t="shared" ref="F3:F21" si="0">C3*E3</f>
        <v>1500</v>
      </c>
      <c r="G3" s="3">
        <f t="shared" ref="G3:G21" si="1">D3*E3</f>
        <v>1750</v>
      </c>
      <c r="H3" s="3">
        <f t="shared" ref="H3:H21" si="2">G3-F3</f>
        <v>250</v>
      </c>
      <c r="I3" s="1">
        <f t="shared" ref="I3:I21" si="3">(G3-F3)/F3</f>
        <v>0.16666666666666666</v>
      </c>
      <c r="J3" s="1">
        <f>PortfolioTable[[#This Row],[Current value]]/SUM(PortfolioTable[Current value])</f>
        <v>4.0739361206816274E-2</v>
      </c>
      <c r="K3" s="1">
        <f>PortfolioTable[[#This Row],[Profit/loss]]/$G$25</f>
        <v>4.7474363843524499E-2</v>
      </c>
      <c r="L3" s="1" t="str">
        <f>IF(PortfolioTable[[#This Row],[Return %]]&gt;20%, "high performer", IF(PortfolioTable[[#This Row],[Return %]]&gt;5%, "moderate performer", "underperformer"))</f>
        <v>moderate performer</v>
      </c>
    </row>
    <row r="4" spans="1:12" x14ac:dyDescent="0.3">
      <c r="A4" t="s">
        <v>10</v>
      </c>
      <c r="B4" t="s">
        <v>35</v>
      </c>
      <c r="C4" s="3">
        <v>220</v>
      </c>
      <c r="D4" s="3">
        <f>_xlfn.XLOOKUP(PortfolioTable[[#This Row],[Ticker]],'Market Data'!A4:A23,'Market Data'!B4:B23)</f>
        <v>260</v>
      </c>
      <c r="E4" s="3">
        <v>8</v>
      </c>
      <c r="F4" s="3">
        <f t="shared" si="0"/>
        <v>1760</v>
      </c>
      <c r="G4" s="3">
        <f t="shared" si="1"/>
        <v>2080</v>
      </c>
      <c r="H4" s="3">
        <f t="shared" si="2"/>
        <v>320</v>
      </c>
      <c r="I4" s="1">
        <f t="shared" si="3"/>
        <v>0.18181818181818182</v>
      </c>
      <c r="J4" s="1">
        <f>PortfolioTable[[#This Row],[Current value]]/SUM(PortfolioTable[Current value])</f>
        <v>4.8421640748673063E-2</v>
      </c>
      <c r="K4" s="1">
        <f>PortfolioTable[[#This Row],[Profit/loss]]/$G$25</f>
        <v>6.0767185719711354E-2</v>
      </c>
      <c r="L4" s="1" t="str">
        <f>IF(PortfolioTable[[#This Row],[Return %]]&gt;20%, "high performer", IF(PortfolioTable[[#This Row],[Return %]]&gt;5%, "moderate performer", "underperformer"))</f>
        <v>moderate performer</v>
      </c>
    </row>
    <row r="5" spans="1:12" x14ac:dyDescent="0.3">
      <c r="A5" t="s">
        <v>11</v>
      </c>
      <c r="B5" t="s">
        <v>34</v>
      </c>
      <c r="C5" s="3">
        <v>500</v>
      </c>
      <c r="D5" s="3">
        <f>_xlfn.XLOOKUP(PortfolioTable[[#This Row],[Ticker]],'Market Data'!A5:A24,'Market Data'!B5:B24)</f>
        <v>650</v>
      </c>
      <c r="E5" s="3">
        <v>4</v>
      </c>
      <c r="F5" s="3">
        <f t="shared" si="0"/>
        <v>2000</v>
      </c>
      <c r="G5" s="3">
        <f t="shared" si="1"/>
        <v>2600</v>
      </c>
      <c r="H5" s="3">
        <f t="shared" si="2"/>
        <v>600</v>
      </c>
      <c r="I5" s="1">
        <f t="shared" si="3"/>
        <v>0.3</v>
      </c>
      <c r="J5" s="1">
        <f>PortfolioTable[[#This Row],[Current value]]/SUM(PortfolioTable[Current value])</f>
        <v>6.0527050935841327E-2</v>
      </c>
      <c r="K5" s="1">
        <f>PortfolioTable[[#This Row],[Profit/loss]]/$G$25</f>
        <v>0.1139384732244588</v>
      </c>
      <c r="L5" s="1" t="str">
        <f>IF(PortfolioTable[[#This Row],[Return %]]&gt;20%, "high performer", IF(PortfolioTable[[#This Row],[Return %]]&gt;5%, "moderate performer", "underperformer"))</f>
        <v>high performer</v>
      </c>
    </row>
    <row r="6" spans="1:12" x14ac:dyDescent="0.3">
      <c r="A6" t="s">
        <v>12</v>
      </c>
      <c r="B6" t="s">
        <v>36</v>
      </c>
      <c r="C6" s="3">
        <v>130</v>
      </c>
      <c r="D6" s="3">
        <f>_xlfn.XLOOKUP(PortfolioTable[[#This Row],[Ticker]],'Market Data'!A6:A25,'Market Data'!B6:B25)</f>
        <v>160</v>
      </c>
      <c r="E6" s="4">
        <v>12</v>
      </c>
      <c r="F6" s="3">
        <f t="shared" si="0"/>
        <v>1560</v>
      </c>
      <c r="G6" s="3">
        <f t="shared" si="1"/>
        <v>1920</v>
      </c>
      <c r="H6" s="3">
        <f t="shared" si="2"/>
        <v>360</v>
      </c>
      <c r="I6" s="1">
        <f t="shared" si="3"/>
        <v>0.23076923076923078</v>
      </c>
      <c r="J6" s="1">
        <f>PortfolioTable[[#This Row],[Current value]]/SUM(PortfolioTable[Current value])</f>
        <v>4.4696899152621289E-2</v>
      </c>
      <c r="K6" s="1">
        <f>PortfolioTable[[#This Row],[Profit/loss]]/$G$25</f>
        <v>6.8363083934675273E-2</v>
      </c>
      <c r="L6" s="1" t="str">
        <f>IF(PortfolioTable[[#This Row],[Return %]]&gt;20%, "high performer", IF(PortfolioTable[[#This Row],[Return %]]&gt;5%, "moderate performer", "underperformer"))</f>
        <v>high performer</v>
      </c>
    </row>
    <row r="7" spans="1:12" x14ac:dyDescent="0.3">
      <c r="A7" t="s">
        <v>13</v>
      </c>
      <c r="B7" t="s">
        <v>34</v>
      </c>
      <c r="C7" s="3">
        <v>120</v>
      </c>
      <c r="D7" s="3">
        <f>_xlfn.XLOOKUP(PortfolioTable[[#This Row],[Ticker]],'Market Data'!A7:A26,'Market Data'!B7:B26)</f>
        <v>145</v>
      </c>
      <c r="E7" s="4">
        <v>15</v>
      </c>
      <c r="F7" s="3">
        <f t="shared" si="0"/>
        <v>1800</v>
      </c>
      <c r="G7" s="3">
        <f t="shared" si="1"/>
        <v>2175</v>
      </c>
      <c r="H7" s="3">
        <f t="shared" si="2"/>
        <v>375</v>
      </c>
      <c r="I7" s="1">
        <f t="shared" si="3"/>
        <v>0.20833333333333334</v>
      </c>
      <c r="J7" s="1">
        <f>PortfolioTable[[#This Row],[Current value]]/SUM(PortfolioTable[Current value])</f>
        <v>5.0633206071328804E-2</v>
      </c>
      <c r="K7" s="1">
        <f>PortfolioTable[[#This Row],[Profit/loss]]/$G$25</f>
        <v>7.1211545765286752E-2</v>
      </c>
      <c r="L7" s="1" t="str">
        <f>IF(PortfolioTable[[#This Row],[Return %]]&gt;20%, "high performer", IF(PortfolioTable[[#This Row],[Return %]]&gt;5%, "moderate performer", "underperformer"))</f>
        <v>high performer</v>
      </c>
    </row>
    <row r="8" spans="1:12" x14ac:dyDescent="0.3">
      <c r="A8" t="s">
        <v>14</v>
      </c>
      <c r="B8" t="s">
        <v>34</v>
      </c>
      <c r="C8" s="3">
        <v>280</v>
      </c>
      <c r="D8" s="3">
        <f>_xlfn.XLOOKUP(PortfolioTable[[#This Row],[Ticker]],'Market Data'!A8:A27,'Market Data'!B8:B27)</f>
        <v>340</v>
      </c>
      <c r="E8" s="4">
        <v>7</v>
      </c>
      <c r="F8" s="3">
        <f t="shared" si="0"/>
        <v>1960</v>
      </c>
      <c r="G8" s="3">
        <f t="shared" si="1"/>
        <v>2380</v>
      </c>
      <c r="H8" s="3">
        <f t="shared" si="2"/>
        <v>420</v>
      </c>
      <c r="I8" s="1">
        <f t="shared" si="3"/>
        <v>0.21428571428571427</v>
      </c>
      <c r="J8" s="1">
        <f>PortfolioTable[[#This Row],[Current value]]/SUM(PortfolioTable[Current value])</f>
        <v>5.5405531241270137E-2</v>
      </c>
      <c r="K8" s="1">
        <f>PortfolioTable[[#This Row],[Profit/loss]]/$G$25</f>
        <v>7.9756931257121161E-2</v>
      </c>
      <c r="L8" s="1" t="str">
        <f>IF(PortfolioTable[[#This Row],[Return %]]&gt;20%, "high performer", IF(PortfolioTable[[#This Row],[Return %]]&gt;5%, "moderate performer", "underperformer"))</f>
        <v>high performer</v>
      </c>
    </row>
    <row r="9" spans="1:12" x14ac:dyDescent="0.3">
      <c r="A9" t="s">
        <v>15</v>
      </c>
      <c r="B9" t="s">
        <v>60</v>
      </c>
      <c r="C9" s="3">
        <v>140</v>
      </c>
      <c r="D9" s="3">
        <f>_xlfn.XLOOKUP(PortfolioTable[[#This Row],[Ticker]],'Market Data'!A9:A28,'Market Data'!B9:B28)</f>
        <v>165</v>
      </c>
      <c r="E9" s="4">
        <v>20</v>
      </c>
      <c r="F9" s="3">
        <f t="shared" si="0"/>
        <v>2800</v>
      </c>
      <c r="G9" s="3">
        <f t="shared" si="1"/>
        <v>3300</v>
      </c>
      <c r="H9" s="3">
        <f t="shared" si="2"/>
        <v>500</v>
      </c>
      <c r="I9" s="1">
        <f t="shared" si="3"/>
        <v>0.17857142857142858</v>
      </c>
      <c r="J9" s="1">
        <f>PortfolioTable[[#This Row],[Current value]]/SUM(PortfolioTable[Current value])</f>
        <v>7.6822795418567832E-2</v>
      </c>
      <c r="K9" s="1">
        <f>PortfolioTable[[#This Row],[Profit/loss]]/$G$25</f>
        <v>9.4948727687048998E-2</v>
      </c>
      <c r="L9" s="1" t="str">
        <f>IF(PortfolioTable[[#This Row],[Return %]]&gt;20%, "high performer", IF(PortfolioTable[[#This Row],[Return %]]&gt;5%, "moderate performer", "underperformer"))</f>
        <v>moderate performer</v>
      </c>
    </row>
    <row r="10" spans="1:12" x14ac:dyDescent="0.3">
      <c r="A10" t="s">
        <v>16</v>
      </c>
      <c r="B10" t="s">
        <v>60</v>
      </c>
      <c r="C10" s="3">
        <v>30</v>
      </c>
      <c r="D10" s="3">
        <f>_xlfn.XLOOKUP(PortfolioTable[[#This Row],[Ticker]],'Market Data'!A10:A29,'Market Data'!B10:B29)</f>
        <v>35</v>
      </c>
      <c r="E10" s="4">
        <v>50</v>
      </c>
      <c r="F10" s="3">
        <f t="shared" si="0"/>
        <v>1500</v>
      </c>
      <c r="G10" s="3">
        <f t="shared" si="1"/>
        <v>1750</v>
      </c>
      <c r="H10" s="3">
        <f t="shared" si="2"/>
        <v>250</v>
      </c>
      <c r="I10" s="1">
        <f t="shared" si="3"/>
        <v>0.16666666666666666</v>
      </c>
      <c r="J10" s="1">
        <f>PortfolioTable[[#This Row],[Current value]]/SUM(PortfolioTable[Current value])</f>
        <v>4.0739361206816274E-2</v>
      </c>
      <c r="K10" s="1">
        <f>PortfolioTable[[#This Row],[Profit/loss]]/$G$25</f>
        <v>4.7474363843524499E-2</v>
      </c>
      <c r="L10" s="1" t="str">
        <f>IF(PortfolioTable[[#This Row],[Return %]]&gt;20%, "high performer", IF(PortfolioTable[[#This Row],[Return %]]&gt;5%, "moderate performer", "underperformer"))</f>
        <v>moderate performer</v>
      </c>
    </row>
    <row r="11" spans="1:12" x14ac:dyDescent="0.3">
      <c r="A11" t="s">
        <v>17</v>
      </c>
      <c r="B11" t="s">
        <v>60</v>
      </c>
      <c r="C11" s="3">
        <v>220</v>
      </c>
      <c r="D11" s="3">
        <f>_xlfn.XLOOKUP(PortfolioTable[[#This Row],[Ticker]],'Market Data'!A11:A30,'Market Data'!B11:B30)</f>
        <v>270</v>
      </c>
      <c r="E11" s="4">
        <v>10</v>
      </c>
      <c r="F11" s="3">
        <f t="shared" si="0"/>
        <v>2200</v>
      </c>
      <c r="G11" s="3">
        <f t="shared" si="1"/>
        <v>2700</v>
      </c>
      <c r="H11" s="3">
        <f t="shared" si="2"/>
        <v>500</v>
      </c>
      <c r="I11" s="1">
        <f t="shared" si="3"/>
        <v>0.22727272727272727</v>
      </c>
      <c r="J11" s="1">
        <f>PortfolioTable[[#This Row],[Current value]]/SUM(PortfolioTable[Current value])</f>
        <v>6.2855014433373685E-2</v>
      </c>
      <c r="K11" s="1">
        <f>PortfolioTable[[#This Row],[Profit/loss]]/$G$25</f>
        <v>9.4948727687048998E-2</v>
      </c>
      <c r="L11" s="1" t="str">
        <f>IF(PortfolioTable[[#This Row],[Return %]]&gt;20%, "high performer", IF(PortfolioTable[[#This Row],[Return %]]&gt;5%, "moderate performer", "underperformer"))</f>
        <v>high performer</v>
      </c>
    </row>
    <row r="12" spans="1:12" x14ac:dyDescent="0.3">
      <c r="A12" t="s">
        <v>18</v>
      </c>
      <c r="B12" t="s">
        <v>60</v>
      </c>
      <c r="C12" s="3">
        <v>350</v>
      </c>
      <c r="D12" s="3">
        <f>_xlfn.XLOOKUP(PortfolioTable[[#This Row],[Ticker]],'Market Data'!A12:A31,'Market Data'!B12:B31)</f>
        <v>420</v>
      </c>
      <c r="E12" s="4">
        <v>6</v>
      </c>
      <c r="F12" s="3">
        <f t="shared" si="0"/>
        <v>2100</v>
      </c>
      <c r="G12" s="3">
        <f t="shared" si="1"/>
        <v>2520</v>
      </c>
      <c r="H12" s="3">
        <f t="shared" si="2"/>
        <v>420</v>
      </c>
      <c r="I12" s="1">
        <f t="shared" si="3"/>
        <v>0.2</v>
      </c>
      <c r="J12" s="1">
        <f>PortfolioTable[[#This Row],[Current value]]/SUM(PortfolioTable[Current value])</f>
        <v>5.8664680137815436E-2</v>
      </c>
      <c r="K12" s="1">
        <f>PortfolioTable[[#This Row],[Profit/loss]]/$G$25</f>
        <v>7.9756931257121161E-2</v>
      </c>
      <c r="L12" s="1" t="str">
        <f>IF(PortfolioTable[[#This Row],[Return %]]&gt;20%, "high performer", IF(PortfolioTable[[#This Row],[Return %]]&gt;5%, "moderate performer", "underperformer"))</f>
        <v>moderate performer</v>
      </c>
    </row>
    <row r="13" spans="1:12" x14ac:dyDescent="0.3">
      <c r="A13" t="s">
        <v>19</v>
      </c>
      <c r="B13" t="s">
        <v>37</v>
      </c>
      <c r="C13" s="3">
        <v>400</v>
      </c>
      <c r="D13" s="3">
        <f>_xlfn.XLOOKUP(PortfolioTable[[#This Row],[Ticker]],'Market Data'!A13:A32,'Market Data'!B13:B32)</f>
        <v>480</v>
      </c>
      <c r="E13" s="4">
        <v>5</v>
      </c>
      <c r="F13" s="3">
        <f t="shared" si="0"/>
        <v>2000</v>
      </c>
      <c r="G13" s="3">
        <f t="shared" si="1"/>
        <v>2400</v>
      </c>
      <c r="H13" s="3">
        <f t="shared" si="2"/>
        <v>400</v>
      </c>
      <c r="I13" s="1">
        <f t="shared" si="3"/>
        <v>0.2</v>
      </c>
      <c r="J13" s="1">
        <f>PortfolioTable[[#This Row],[Current value]]/SUM(PortfolioTable[Current value])</f>
        <v>5.5871123940776611E-2</v>
      </c>
      <c r="K13" s="1">
        <f>PortfolioTable[[#This Row],[Profit/loss]]/$G$25</f>
        <v>7.5958982149639198E-2</v>
      </c>
      <c r="L13" s="1" t="str">
        <f>IF(PortfolioTable[[#This Row],[Return %]]&gt;20%, "high performer", IF(PortfolioTable[[#This Row],[Return %]]&gt;5%, "moderate performer", "underperformer"))</f>
        <v>moderate performer</v>
      </c>
    </row>
    <row r="14" spans="1:12" x14ac:dyDescent="0.3">
      <c r="A14" t="s">
        <v>20</v>
      </c>
      <c r="B14" t="s">
        <v>38</v>
      </c>
      <c r="C14" s="3">
        <v>55</v>
      </c>
      <c r="D14" s="3">
        <f>_xlfn.XLOOKUP(PortfolioTable[[#This Row],[Ticker]],'Market Data'!A14:A33,'Market Data'!B14:B33)</f>
        <v>63</v>
      </c>
      <c r="E14" s="4">
        <v>30</v>
      </c>
      <c r="F14" s="3">
        <f t="shared" si="0"/>
        <v>1650</v>
      </c>
      <c r="G14" s="3">
        <f t="shared" si="1"/>
        <v>1890</v>
      </c>
      <c r="H14" s="3">
        <f t="shared" si="2"/>
        <v>240</v>
      </c>
      <c r="I14" s="1">
        <f t="shared" si="3"/>
        <v>0.14545454545454545</v>
      </c>
      <c r="J14" s="1">
        <f>PortfolioTable[[#This Row],[Current value]]/SUM(PortfolioTable[Current value])</f>
        <v>4.3998510103361581E-2</v>
      </c>
      <c r="K14" s="1">
        <f>PortfolioTable[[#This Row],[Profit/loss]]/$G$25</f>
        <v>4.5575389289783517E-2</v>
      </c>
      <c r="L14" s="1" t="str">
        <f>IF(PortfolioTable[[#This Row],[Return %]]&gt;20%, "high performer", IF(PortfolioTable[[#This Row],[Return %]]&gt;5%, "moderate performer", "underperformer"))</f>
        <v>moderate performer</v>
      </c>
    </row>
    <row r="15" spans="1:12" x14ac:dyDescent="0.3">
      <c r="A15" t="s">
        <v>21</v>
      </c>
      <c r="B15" t="s">
        <v>38</v>
      </c>
      <c r="C15" s="3">
        <v>160</v>
      </c>
      <c r="D15" s="3">
        <f>_xlfn.XLOOKUP(PortfolioTable[[#This Row],[Ticker]],'Market Data'!A15:A34,'Market Data'!B15:B34)</f>
        <v>175</v>
      </c>
      <c r="E15" s="4">
        <v>15</v>
      </c>
      <c r="F15" s="3">
        <f t="shared" si="0"/>
        <v>2400</v>
      </c>
      <c r="G15" s="3">
        <f t="shared" si="1"/>
        <v>2625</v>
      </c>
      <c r="H15" s="3">
        <f t="shared" si="2"/>
        <v>225</v>
      </c>
      <c r="I15" s="1">
        <f t="shared" si="3"/>
        <v>9.375E-2</v>
      </c>
      <c r="J15" s="1">
        <f>PortfolioTable[[#This Row],[Current value]]/SUM(PortfolioTable[Current value])</f>
        <v>6.1109041810224418E-2</v>
      </c>
      <c r="K15" s="1">
        <f>PortfolioTable[[#This Row],[Profit/loss]]/$G$25</f>
        <v>4.2726927459172045E-2</v>
      </c>
      <c r="L15" s="1" t="str">
        <f>IF(PortfolioTable[[#This Row],[Return %]]&gt;20%, "high performer", IF(PortfolioTable[[#This Row],[Return %]]&gt;5%, "moderate performer", "underperformer"))</f>
        <v>moderate performer</v>
      </c>
    </row>
    <row r="16" spans="1:12" x14ac:dyDescent="0.3">
      <c r="A16" t="s">
        <v>22</v>
      </c>
      <c r="B16" t="s">
        <v>39</v>
      </c>
      <c r="C16" s="3">
        <v>90</v>
      </c>
      <c r="D16" s="3">
        <f>_xlfn.XLOOKUP(PortfolioTable[[#This Row],[Ticker]],'Market Data'!A16:A35,'Market Data'!B16:B35)</f>
        <v>110</v>
      </c>
      <c r="E16" s="4">
        <v>25</v>
      </c>
      <c r="F16" s="3">
        <f t="shared" si="0"/>
        <v>2250</v>
      </c>
      <c r="G16" s="3">
        <f t="shared" si="1"/>
        <v>2750</v>
      </c>
      <c r="H16" s="3">
        <f t="shared" si="2"/>
        <v>500</v>
      </c>
      <c r="I16" s="1">
        <f t="shared" si="3"/>
        <v>0.22222222222222221</v>
      </c>
      <c r="J16" s="1">
        <f>PortfolioTable[[#This Row],[Current value]]/SUM(PortfolioTable[Current value])</f>
        <v>6.4018996182139867E-2</v>
      </c>
      <c r="K16" s="1">
        <f>PortfolioTable[[#This Row],[Profit/loss]]/$G$25</f>
        <v>9.4948727687048998E-2</v>
      </c>
      <c r="L16" s="1" t="str">
        <f>IF(PortfolioTable[[#This Row],[Return %]]&gt;20%, "high performer", IF(PortfolioTable[[#This Row],[Return %]]&gt;5%, "moderate performer", "underperformer"))</f>
        <v>high performer</v>
      </c>
    </row>
    <row r="17" spans="1:12" x14ac:dyDescent="0.3">
      <c r="A17" t="s">
        <v>23</v>
      </c>
      <c r="B17" t="s">
        <v>39</v>
      </c>
      <c r="C17" s="3">
        <v>140</v>
      </c>
      <c r="D17" s="3">
        <f>_xlfn.XLOOKUP(PortfolioTable[[#This Row],[Ticker]],'Market Data'!A17:A36,'Market Data'!B17:B36)</f>
        <v>155</v>
      </c>
      <c r="E17" s="4">
        <v>12</v>
      </c>
      <c r="F17" s="3">
        <f t="shared" si="0"/>
        <v>1680</v>
      </c>
      <c r="G17" s="3">
        <f t="shared" si="1"/>
        <v>1860</v>
      </c>
      <c r="H17" s="3">
        <f t="shared" si="2"/>
        <v>180</v>
      </c>
      <c r="I17" s="1">
        <f t="shared" si="3"/>
        <v>0.10714285714285714</v>
      </c>
      <c r="J17" s="1">
        <f>PortfolioTable[[#This Row],[Current value]]/SUM(PortfolioTable[Current value])</f>
        <v>4.3300121054101873E-2</v>
      </c>
      <c r="K17" s="1">
        <f>PortfolioTable[[#This Row],[Profit/loss]]/$G$25</f>
        <v>3.4181541967337636E-2</v>
      </c>
      <c r="L17" s="1" t="str">
        <f>IF(PortfolioTable[[#This Row],[Return %]]&gt;20%, "high performer", IF(PortfolioTable[[#This Row],[Return %]]&gt;5%, "moderate performer", "underperformer"))</f>
        <v>moderate performer</v>
      </c>
    </row>
    <row r="18" spans="1:12" x14ac:dyDescent="0.3">
      <c r="A18" t="s">
        <v>24</v>
      </c>
      <c r="B18" t="s">
        <v>34</v>
      </c>
      <c r="C18" s="3">
        <v>45</v>
      </c>
      <c r="D18" s="3">
        <f>_xlfn.XLOOKUP(PortfolioTable[[#This Row],[Ticker]],'Market Data'!A18:A37,'Market Data'!B18:B37)</f>
        <v>38</v>
      </c>
      <c r="E18" s="4">
        <v>40</v>
      </c>
      <c r="F18" s="3">
        <f t="shared" si="0"/>
        <v>1800</v>
      </c>
      <c r="G18" s="3">
        <f t="shared" si="1"/>
        <v>1520</v>
      </c>
      <c r="H18" s="3">
        <f t="shared" si="2"/>
        <v>-280</v>
      </c>
      <c r="I18" s="1">
        <f t="shared" si="3"/>
        <v>-0.15555555555555556</v>
      </c>
      <c r="J18" s="1">
        <f>PortfolioTable[[#This Row],[Current value]]/SUM(PortfolioTable[Current value])</f>
        <v>3.538504516249185E-2</v>
      </c>
      <c r="K18" s="1">
        <f>PortfolioTable[[#This Row],[Profit/loss]]/$G$25</f>
        <v>-5.3171287504747436E-2</v>
      </c>
      <c r="L18" s="1" t="str">
        <f>IF(PortfolioTable[[#This Row],[Return %]]&gt;20%, "high performer", IF(PortfolioTable[[#This Row],[Return %]]&gt;5%, "moderate performer", "underperformer"))</f>
        <v>underperformer</v>
      </c>
    </row>
    <row r="19" spans="1:12" x14ac:dyDescent="0.3">
      <c r="A19" t="s">
        <v>25</v>
      </c>
      <c r="B19" t="s">
        <v>37</v>
      </c>
      <c r="C19" s="3">
        <v>110</v>
      </c>
      <c r="D19" s="3">
        <f>_xlfn.XLOOKUP(PortfolioTable[[#This Row],[Ticker]],'Market Data'!A19:A38,'Market Data'!B19:B38)</f>
        <v>95</v>
      </c>
      <c r="E19" s="4">
        <v>20</v>
      </c>
      <c r="F19" s="3">
        <f t="shared" si="0"/>
        <v>2200</v>
      </c>
      <c r="G19" s="3">
        <f t="shared" si="1"/>
        <v>1900</v>
      </c>
      <c r="H19" s="3">
        <f t="shared" si="2"/>
        <v>-300</v>
      </c>
      <c r="I19" s="1">
        <f t="shared" si="3"/>
        <v>-0.13636363636363635</v>
      </c>
      <c r="J19" s="1">
        <f>PortfolioTable[[#This Row],[Current value]]/SUM(PortfolioTable[Current value])</f>
        <v>4.4231306453114815E-2</v>
      </c>
      <c r="K19" s="1">
        <f>PortfolioTable[[#This Row],[Profit/loss]]/$G$25</f>
        <v>-5.6969236612229399E-2</v>
      </c>
      <c r="L19" s="1" t="str">
        <f>IF(PortfolioTable[[#This Row],[Return %]]&gt;20%, "high performer", IF(PortfolioTable[[#This Row],[Return %]]&gt;5%, "moderate performer", "underperformer"))</f>
        <v>underperformer</v>
      </c>
    </row>
    <row r="20" spans="1:12" x14ac:dyDescent="0.3">
      <c r="A20" t="s">
        <v>26</v>
      </c>
      <c r="B20" t="s">
        <v>40</v>
      </c>
      <c r="C20" s="3">
        <v>85</v>
      </c>
      <c r="D20" s="3">
        <f>_xlfn.XLOOKUP(PortfolioTable[[#This Row],[Ticker]],'Market Data'!A20:A39,'Market Data'!B20:B39)</f>
        <v>72</v>
      </c>
      <c r="E20" s="4">
        <v>18</v>
      </c>
      <c r="F20" s="3">
        <f t="shared" si="0"/>
        <v>1530</v>
      </c>
      <c r="G20" s="3">
        <f t="shared" si="1"/>
        <v>1296</v>
      </c>
      <c r="H20" s="3">
        <f t="shared" si="2"/>
        <v>-234</v>
      </c>
      <c r="I20" s="1">
        <f t="shared" si="3"/>
        <v>-0.15294117647058825</v>
      </c>
      <c r="J20" s="1">
        <f>PortfolioTable[[#This Row],[Current value]]/SUM(PortfolioTable[Current value])</f>
        <v>3.017040692801937E-2</v>
      </c>
      <c r="K20" s="1">
        <f>PortfolioTable[[#This Row],[Profit/loss]]/$G$25</f>
        <v>-4.4436004557538926E-2</v>
      </c>
      <c r="L20" s="1" t="str">
        <f>IF(PortfolioTable[[#This Row],[Return %]]&gt;20%, "high performer", IF(PortfolioTable[[#This Row],[Return %]]&gt;5%, "moderate performer", "underperformer"))</f>
        <v>underperformer</v>
      </c>
    </row>
    <row r="21" spans="1:12" x14ac:dyDescent="0.3">
      <c r="A21" t="s">
        <v>27</v>
      </c>
      <c r="B21" t="s">
        <v>34</v>
      </c>
      <c r="C21" s="3">
        <v>500</v>
      </c>
      <c r="D21" s="3">
        <f>_xlfn.XLOOKUP(PortfolioTable[[#This Row],[Ticker]],'Market Data'!A21:A40,'Market Data'!B21:B40)</f>
        <v>580</v>
      </c>
      <c r="E21" s="4">
        <v>3</v>
      </c>
      <c r="F21" s="3">
        <f t="shared" si="0"/>
        <v>1500</v>
      </c>
      <c r="G21" s="3">
        <f t="shared" si="1"/>
        <v>1740</v>
      </c>
      <c r="H21" s="3">
        <f t="shared" si="2"/>
        <v>240</v>
      </c>
      <c r="I21" s="1">
        <f t="shared" si="3"/>
        <v>0.16</v>
      </c>
      <c r="J21" s="1">
        <f>PortfolioTable[[#This Row],[Current value]]/SUM(PortfolioTable[Current value])</f>
        <v>4.050656485706304E-2</v>
      </c>
      <c r="K21" s="1">
        <f>PortfolioTable[[#This Row],[Profit/loss]]/$G$25</f>
        <v>4.5575389289783517E-2</v>
      </c>
      <c r="L21" s="1" t="str">
        <f>IF(PortfolioTable[[#This Row],[Return %]]&gt;20%, "high performer", IF(PortfolioTable[[#This Row],[Return %]]&gt;5%, "moderate performer", "underperformer"))</f>
        <v>moderate performer</v>
      </c>
    </row>
    <row r="22" spans="1:12" x14ac:dyDescent="0.3">
      <c r="C22" s="3"/>
      <c r="D22" s="3"/>
      <c r="E22" s="3"/>
      <c r="F22" s="3"/>
      <c r="G22" s="3"/>
      <c r="H22" s="3"/>
      <c r="I22" s="1"/>
      <c r="J22" s="1"/>
    </row>
    <row r="23" spans="1:12" x14ac:dyDescent="0.3">
      <c r="F23" t="s">
        <v>28</v>
      </c>
      <c r="G23">
        <f>SUM(F2:F21)</f>
        <v>37690</v>
      </c>
    </row>
    <row r="24" spans="1:12" x14ac:dyDescent="0.3">
      <c r="F24" t="s">
        <v>29</v>
      </c>
      <c r="G24">
        <f>SUM(G2:G21)</f>
        <v>42956</v>
      </c>
    </row>
    <row r="25" spans="1:12" x14ac:dyDescent="0.3">
      <c r="F25" t="s">
        <v>30</v>
      </c>
      <c r="G25">
        <f>SUM(H2:H21)</f>
        <v>5266</v>
      </c>
    </row>
    <row r="26" spans="1:12" x14ac:dyDescent="0.3">
      <c r="F26" t="s">
        <v>32</v>
      </c>
      <c r="G26" s="1">
        <f>(G24-G23)/G23</f>
        <v>0.13971875829132396</v>
      </c>
    </row>
    <row r="27" spans="1:12" x14ac:dyDescent="0.3">
      <c r="F27" t="s">
        <v>41</v>
      </c>
      <c r="G27" s="1">
        <f>MAX(I2:I21)</f>
        <v>0.3</v>
      </c>
    </row>
    <row r="28" spans="1:12" x14ac:dyDescent="0.3">
      <c r="F28" t="s">
        <v>42</v>
      </c>
      <c r="G28" s="1">
        <f>MIN(I2:I21)</f>
        <v>-0.15555555555555556</v>
      </c>
    </row>
    <row r="29" spans="1:12" x14ac:dyDescent="0.3">
      <c r="F29" t="s">
        <v>47</v>
      </c>
      <c r="G29">
        <f>MAX(PortfolioTable[Current value])</f>
        <v>3300</v>
      </c>
    </row>
    <row r="30" spans="1:12" x14ac:dyDescent="0.3">
      <c r="F30" t="s">
        <v>53</v>
      </c>
      <c r="G30" t="str">
        <f>_xlfn.XLOOKUP(MAX(PortfolioTable[Current value]),PortfolioTable[Current value],PortfolioTable[Ticker])</f>
        <v>JPM</v>
      </c>
    </row>
  </sheetData>
  <conditionalFormatting sqref="H2:H21">
    <cfRule type="cellIs" dxfId="3" priority="3" operator="lessThan">
      <formula>0</formula>
    </cfRule>
    <cfRule type="cellIs" dxfId="2" priority="4" operator="greaterThan">
      <formula>0</formula>
    </cfRule>
  </conditionalFormatting>
  <conditionalFormatting sqref="I2:I21">
    <cfRule type="cellIs" dxfId="1" priority="1" operator="lessThan">
      <formula>0</formula>
    </cfRule>
    <cfRule type="cellIs" dxfId="0" priority="2" operator="greater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8FF34-3BED-434D-9D9B-41F2289AD99A}">
  <dimension ref="A1:R22"/>
  <sheetViews>
    <sheetView zoomScale="80" zoomScaleNormal="80" workbookViewId="0">
      <selection activeCell="N27" sqref="N27"/>
    </sheetView>
  </sheetViews>
  <sheetFormatPr defaultRowHeight="14.4" x14ac:dyDescent="0.3"/>
  <cols>
    <col min="1" max="1" width="21.33203125" bestFit="1" customWidth="1"/>
    <col min="2" max="2" width="11.109375" bestFit="1" customWidth="1"/>
  </cols>
  <sheetData>
    <row r="1" spans="1:18" x14ac:dyDescent="0.3">
      <c r="A1" s="9" t="s">
        <v>51</v>
      </c>
      <c r="B1" s="9"/>
      <c r="C1" s="9"/>
      <c r="D1" s="9"/>
      <c r="E1" s="9"/>
      <c r="F1" s="9"/>
      <c r="G1" s="9"/>
      <c r="H1" s="9"/>
      <c r="I1" s="9"/>
      <c r="J1" s="9"/>
      <c r="K1" s="9"/>
      <c r="L1" s="9"/>
      <c r="M1" s="9"/>
      <c r="N1" s="9"/>
      <c r="O1" s="9"/>
      <c r="P1" s="9"/>
      <c r="Q1" s="9"/>
      <c r="R1" s="9"/>
    </row>
    <row r="2" spans="1:18" x14ac:dyDescent="0.3">
      <c r="A2" s="9" t="s">
        <v>52</v>
      </c>
      <c r="B2" s="9"/>
      <c r="C2" s="9"/>
      <c r="D2" s="9"/>
      <c r="E2" s="9"/>
      <c r="F2" s="9"/>
      <c r="G2" s="9"/>
      <c r="H2" s="9"/>
      <c r="I2" s="9"/>
      <c r="J2" s="9"/>
      <c r="K2" s="9"/>
      <c r="L2" s="9"/>
      <c r="M2" s="9"/>
      <c r="N2" s="9"/>
      <c r="O2" s="9"/>
      <c r="P2" s="9"/>
      <c r="Q2" s="9"/>
      <c r="R2" s="9"/>
    </row>
    <row r="3" spans="1:18" x14ac:dyDescent="0.3">
      <c r="A3" s="9" t="s">
        <v>55</v>
      </c>
      <c r="B3" s="9"/>
      <c r="C3" s="9"/>
      <c r="D3" s="9"/>
      <c r="E3" s="9"/>
      <c r="F3" s="9"/>
      <c r="G3" s="9"/>
      <c r="H3" s="9"/>
      <c r="I3" s="9"/>
      <c r="J3" s="9"/>
      <c r="K3" s="9"/>
      <c r="L3" s="9"/>
      <c r="M3" s="9"/>
      <c r="N3" s="9"/>
      <c r="O3" s="9"/>
      <c r="P3" s="9"/>
      <c r="Q3" s="9"/>
      <c r="R3" s="9"/>
    </row>
    <row r="4" spans="1:18" x14ac:dyDescent="0.3">
      <c r="A4" s="2" t="s">
        <v>44</v>
      </c>
      <c r="B4" s="2" t="s">
        <v>31</v>
      </c>
    </row>
    <row r="5" spans="1:18" x14ac:dyDescent="0.3">
      <c r="A5" t="s">
        <v>28</v>
      </c>
      <c r="B5" s="7">
        <f>Portfolio!G23</f>
        <v>37690</v>
      </c>
    </row>
    <row r="6" spans="1:18" x14ac:dyDescent="0.3">
      <c r="A6" t="s">
        <v>5</v>
      </c>
      <c r="B6" s="7">
        <f>Portfolio!G24</f>
        <v>42956</v>
      </c>
    </row>
    <row r="7" spans="1:18" x14ac:dyDescent="0.3">
      <c r="A7" t="s">
        <v>56</v>
      </c>
      <c r="B7" s="7">
        <f>Portfolio!G25</f>
        <v>5266</v>
      </c>
    </row>
    <row r="8" spans="1:18" x14ac:dyDescent="0.3">
      <c r="A8" t="s">
        <v>45</v>
      </c>
      <c r="B8" s="1">
        <f>Portfolio!G26</f>
        <v>0.13971875829132396</v>
      </c>
    </row>
    <row r="9" spans="1:18" x14ac:dyDescent="0.3">
      <c r="A9" t="s">
        <v>46</v>
      </c>
      <c r="B9" s="4">
        <f>COUNTA(PortfolioTable[Ticker])</f>
        <v>20</v>
      </c>
    </row>
    <row r="10" spans="1:18" x14ac:dyDescent="0.3">
      <c r="A10" t="s">
        <v>53</v>
      </c>
      <c r="B10" s="7">
        <f>Portfolio!G29</f>
        <v>3300</v>
      </c>
    </row>
    <row r="11" spans="1:18" x14ac:dyDescent="0.3">
      <c r="A11" t="s">
        <v>47</v>
      </c>
      <c r="B11" s="1" t="str">
        <f>Portfolio!G30</f>
        <v>JPM</v>
      </c>
    </row>
    <row r="12" spans="1:18" x14ac:dyDescent="0.3">
      <c r="A12" t="s">
        <v>54</v>
      </c>
      <c r="B12" s="1">
        <f>B10/B6</f>
        <v>7.6822795418567832E-2</v>
      </c>
    </row>
    <row r="13" spans="1:18" x14ac:dyDescent="0.3">
      <c r="A13" t="s">
        <v>49</v>
      </c>
      <c r="B13" s="1">
        <f>Portfolio!G27</f>
        <v>0.3</v>
      </c>
    </row>
    <row r="14" spans="1:18" x14ac:dyDescent="0.3">
      <c r="A14" t="s">
        <v>48</v>
      </c>
      <c r="B14" s="1">
        <f>Portfolio!G28</f>
        <v>-0.15555555555555556</v>
      </c>
    </row>
    <row r="15" spans="1:18" x14ac:dyDescent="0.3">
      <c r="A15" t="s">
        <v>50</v>
      </c>
      <c r="B15" t="str">
        <f>IF(B8&gt;0,"Profitable","Loss")</f>
        <v>Profitable</v>
      </c>
    </row>
    <row r="16" spans="1:18" x14ac:dyDescent="0.3">
      <c r="A16" t="s">
        <v>57</v>
      </c>
      <c r="B16">
        <f>COUNTIF(PortfolioTable[Return %],"&gt;0")</f>
        <v>17</v>
      </c>
    </row>
    <row r="17" spans="1:2" x14ac:dyDescent="0.3">
      <c r="A17" t="s">
        <v>58</v>
      </c>
      <c r="B17">
        <f>COUNTIF(PortfolioTable[Return %],"&lt;0")</f>
        <v>3</v>
      </c>
    </row>
    <row r="18" spans="1:2" x14ac:dyDescent="0.3">
      <c r="A18" t="s">
        <v>65</v>
      </c>
      <c r="B18">
        <f>COUNTA(_xlfn.UNIQUE(PortfolioTable[Sector]))</f>
        <v>8</v>
      </c>
    </row>
    <row r="19" spans="1:2" x14ac:dyDescent="0.3">
      <c r="A19" t="s">
        <v>63</v>
      </c>
      <c r="B19" t="s">
        <v>34</v>
      </c>
    </row>
    <row r="20" spans="1:2" x14ac:dyDescent="0.3">
      <c r="A20" t="s">
        <v>64</v>
      </c>
      <c r="B20" s="8">
        <v>0.32</v>
      </c>
    </row>
    <row r="21" spans="1:2" x14ac:dyDescent="0.3">
      <c r="A21" t="s">
        <v>67</v>
      </c>
      <c r="B21" t="str">
        <f>_xlfn.XLOOKUP(MAX(PortfolioTable[Return %]),PortfolioTable[Return %],PortfolioTable[Ticker])</f>
        <v>NVDA</v>
      </c>
    </row>
    <row r="22" spans="1:2" x14ac:dyDescent="0.3">
      <c r="A22" t="s">
        <v>68</v>
      </c>
      <c r="B22" t="str">
        <f>_xlfn.XLOOKUP(MIN(PortfolioTable[Return %]),PortfolioTable[Return %],PortfolioTable[Ticker])</f>
        <v>INTC</v>
      </c>
    </row>
  </sheetData>
  <mergeCells count="3">
    <mergeCell ref="A1:R1"/>
    <mergeCell ref="A2:R2"/>
    <mergeCell ref="A3:R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0962C-6640-473E-B5DD-D3B1ED7B8C58}">
  <dimension ref="A3:C12"/>
  <sheetViews>
    <sheetView workbookViewId="0">
      <selection activeCell="A13" sqref="A13"/>
    </sheetView>
  </sheetViews>
  <sheetFormatPr defaultRowHeight="14.4" x14ac:dyDescent="0.3"/>
  <cols>
    <col min="1" max="1" width="21" bestFit="1" customWidth="1"/>
    <col min="2" max="2" width="11.33203125" bestFit="1" customWidth="1"/>
  </cols>
  <sheetData>
    <row r="3" spans="1:3" x14ac:dyDescent="0.3">
      <c r="A3" s="5" t="s">
        <v>33</v>
      </c>
      <c r="B3" t="s">
        <v>62</v>
      </c>
    </row>
    <row r="4" spans="1:3" x14ac:dyDescent="0.3">
      <c r="A4" s="6" t="s">
        <v>35</v>
      </c>
      <c r="B4" s="1">
        <v>4.8421640748673063E-2</v>
      </c>
      <c r="C4" s="6"/>
    </row>
    <row r="5" spans="1:3" x14ac:dyDescent="0.3">
      <c r="A5" s="6" t="s">
        <v>37</v>
      </c>
      <c r="B5" s="1">
        <v>0.10010243039389143</v>
      </c>
      <c r="C5" s="6"/>
    </row>
    <row r="6" spans="1:3" x14ac:dyDescent="0.3">
      <c r="A6" s="6" t="s">
        <v>36</v>
      </c>
      <c r="B6" s="1">
        <v>4.4696899152621289E-2</v>
      </c>
      <c r="C6" s="6"/>
    </row>
    <row r="7" spans="1:3" x14ac:dyDescent="0.3">
      <c r="A7" s="6" t="s">
        <v>38</v>
      </c>
      <c r="B7" s="1">
        <v>0.10510755191358599</v>
      </c>
      <c r="C7" s="6"/>
    </row>
    <row r="8" spans="1:3" x14ac:dyDescent="0.3">
      <c r="A8" s="6" t="s">
        <v>39</v>
      </c>
      <c r="B8" s="1">
        <v>0.10731911723624174</v>
      </c>
      <c r="C8" s="6"/>
    </row>
    <row r="9" spans="1:3" x14ac:dyDescent="0.3">
      <c r="A9" s="6" t="s">
        <v>40</v>
      </c>
      <c r="B9" s="1">
        <v>3.017040692801937E-2</v>
      </c>
      <c r="C9" s="6"/>
    </row>
    <row r="10" spans="1:3" x14ac:dyDescent="0.3">
      <c r="A10" s="6" t="s">
        <v>60</v>
      </c>
      <c r="B10" s="1">
        <v>0.23908185119657324</v>
      </c>
      <c r="C10" s="6"/>
    </row>
    <row r="11" spans="1:3" x14ac:dyDescent="0.3">
      <c r="A11" s="6" t="s">
        <v>34</v>
      </c>
      <c r="B11" s="1">
        <v>0.32510010243039389</v>
      </c>
      <c r="C11" s="6"/>
    </row>
    <row r="12" spans="1:3" x14ac:dyDescent="0.3">
      <c r="A12" s="6" t="s">
        <v>59</v>
      </c>
      <c r="B12" s="1">
        <v>1</v>
      </c>
      <c r="C12"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606E8-6F7F-4494-BCA6-02729330E66D}">
  <dimension ref="A1:B21"/>
  <sheetViews>
    <sheetView workbookViewId="0">
      <selection activeCell="C1" sqref="C1"/>
    </sheetView>
  </sheetViews>
  <sheetFormatPr defaultRowHeight="14.4" x14ac:dyDescent="0.3"/>
  <cols>
    <col min="2" max="2" width="11.6640625" bestFit="1" customWidth="1"/>
  </cols>
  <sheetData>
    <row r="1" spans="1:2" x14ac:dyDescent="0.3">
      <c r="A1" t="s">
        <v>0</v>
      </c>
      <c r="B1" t="s">
        <v>2</v>
      </c>
    </row>
    <row r="2" spans="1:2" x14ac:dyDescent="0.3">
      <c r="A2" t="s">
        <v>8</v>
      </c>
      <c r="B2">
        <v>180</v>
      </c>
    </row>
    <row r="3" spans="1:2" x14ac:dyDescent="0.3">
      <c r="A3" t="s">
        <v>9</v>
      </c>
      <c r="B3">
        <v>350</v>
      </c>
    </row>
    <row r="4" spans="1:2" x14ac:dyDescent="0.3">
      <c r="A4" t="s">
        <v>10</v>
      </c>
      <c r="B4">
        <v>260</v>
      </c>
    </row>
    <row r="5" spans="1:2" x14ac:dyDescent="0.3">
      <c r="A5" t="s">
        <v>11</v>
      </c>
      <c r="B5">
        <v>650</v>
      </c>
    </row>
    <row r="6" spans="1:2" x14ac:dyDescent="0.3">
      <c r="A6" t="s">
        <v>12</v>
      </c>
      <c r="B6">
        <v>160</v>
      </c>
    </row>
    <row r="7" spans="1:2" x14ac:dyDescent="0.3">
      <c r="A7" t="s">
        <v>13</v>
      </c>
      <c r="B7">
        <v>145</v>
      </c>
    </row>
    <row r="8" spans="1:2" x14ac:dyDescent="0.3">
      <c r="A8" t="s">
        <v>14</v>
      </c>
      <c r="B8">
        <v>340</v>
      </c>
    </row>
    <row r="9" spans="1:2" x14ac:dyDescent="0.3">
      <c r="A9" t="s">
        <v>15</v>
      </c>
      <c r="B9">
        <v>165</v>
      </c>
    </row>
    <row r="10" spans="1:2" x14ac:dyDescent="0.3">
      <c r="A10" t="s">
        <v>16</v>
      </c>
      <c r="B10">
        <v>35</v>
      </c>
    </row>
    <row r="11" spans="1:2" x14ac:dyDescent="0.3">
      <c r="A11" t="s">
        <v>17</v>
      </c>
      <c r="B11">
        <v>270</v>
      </c>
    </row>
    <row r="12" spans="1:2" x14ac:dyDescent="0.3">
      <c r="A12" t="s">
        <v>18</v>
      </c>
      <c r="B12">
        <v>420</v>
      </c>
    </row>
    <row r="13" spans="1:2" x14ac:dyDescent="0.3">
      <c r="A13" t="s">
        <v>19</v>
      </c>
      <c r="B13">
        <v>480</v>
      </c>
    </row>
    <row r="14" spans="1:2" x14ac:dyDescent="0.3">
      <c r="A14" t="s">
        <v>20</v>
      </c>
      <c r="B14">
        <v>63</v>
      </c>
    </row>
    <row r="15" spans="1:2" x14ac:dyDescent="0.3">
      <c r="A15" t="s">
        <v>21</v>
      </c>
      <c r="B15">
        <v>175</v>
      </c>
    </row>
    <row r="16" spans="1:2" x14ac:dyDescent="0.3">
      <c r="A16" t="s">
        <v>22</v>
      </c>
      <c r="B16">
        <v>110</v>
      </c>
    </row>
    <row r="17" spans="1:2" x14ac:dyDescent="0.3">
      <c r="A17" t="s">
        <v>23</v>
      </c>
      <c r="B17">
        <v>155</v>
      </c>
    </row>
    <row r="18" spans="1:2" x14ac:dyDescent="0.3">
      <c r="A18" t="s">
        <v>24</v>
      </c>
      <c r="B18">
        <v>38</v>
      </c>
    </row>
    <row r="19" spans="1:2" x14ac:dyDescent="0.3">
      <c r="A19" t="s">
        <v>25</v>
      </c>
      <c r="B19">
        <v>95</v>
      </c>
    </row>
    <row r="20" spans="1:2" x14ac:dyDescent="0.3">
      <c r="A20" t="s">
        <v>26</v>
      </c>
      <c r="B20">
        <v>72</v>
      </c>
    </row>
    <row r="21" spans="1:2" x14ac:dyDescent="0.3">
      <c r="A21" t="s">
        <v>27</v>
      </c>
      <c r="B21">
        <v>580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58E1-1A5C-4EEC-99CD-0B037313646F}">
  <dimension ref="A1"/>
  <sheetViews>
    <sheetView workbookViewId="0">
      <selection activeCell="E13" sqref="E13"/>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Portfolio</vt:lpstr>
      <vt:lpstr>Dashboard</vt:lpstr>
      <vt:lpstr>Sector analysis</vt:lpstr>
      <vt:lpstr>Market Data</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Lamis AD</dc:creator>
  <cp:lastModifiedBy>Lamis AD</cp:lastModifiedBy>
  <dcterms:created xsi:type="dcterms:W3CDTF">2026-06-19T21:22:51Z</dcterms:created>
  <dcterms:modified xsi:type="dcterms:W3CDTF">2026-06-24T14:04:32Z</dcterms:modified>
</cp:coreProperties>
</file>